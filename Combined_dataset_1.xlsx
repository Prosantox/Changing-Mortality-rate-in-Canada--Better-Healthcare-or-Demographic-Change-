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  <sheet name="mortality_collapsed" sheetId="2" state="visible" r:id="rId2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<sst xmlns="http://schemas.openxmlformats.org/spreadsheetml/2006/main" count="23" uniqueCount="23">
  <si>
    <t>Province</t>
  </si>
  <si>
    <t>Year</t>
  </si>
  <si>
    <t>key</t>
  </si>
  <si>
    <t>amenable_mortality_std</t>
  </si>
  <si>
    <t>physicians_per100k</t>
  </si>
  <si>
    <t>total_population</t>
  </si>
  <si>
    <t>median_income</t>
  </si>
  <si>
    <t>pct_65plus</t>
  </si>
  <si>
    <t>spending_percapita</t>
  </si>
  <si>
    <t>education</t>
  </si>
  <si>
    <t xml:space="preserve">Newfoundland and Labrador</t>
  </si>
  <si>
    <t xml:space="preserve">Prince Edward Island</t>
  </si>
  <si>
    <t xml:space="preserve">Nova Scotia</t>
  </si>
  <si>
    <t xml:space="preserve">New Brunswick</t>
  </si>
  <si>
    <t>Quebec</t>
  </si>
  <si>
    <t>Ontario</t>
  </si>
  <si>
    <t>Manitoba</t>
  </si>
  <si>
    <t>Saskatchewan</t>
  </si>
  <si>
    <t>Alberta</t>
  </si>
  <si>
    <t xml:space="preserve">British Columbia</t>
  </si>
  <si>
    <t>province</t>
  </si>
  <si>
    <t>year</t>
  </si>
  <si>
    <t>total_amenable_death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</si>
</sst>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4">
    <font>
      <sz val="11.000000"/>
      <color theme="1"/>
      <name val="Calibri"/>
      <scheme val="minor"/>
    </font>
    <font>
      <sz val="12.000000"/>
      <name val="Times New Roman"/>
    </font>
    <font>
      <sz val="11.000000"/>
      <name val="Times New Roman"/>
    </font>
    <font>
      <sz val="11.000000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8">
    <xf fontId="0" fillId="0" borderId="0" numFmtId="0" xfId="0"/>
    <xf fontId="1" fillId="0" borderId="0" numFmtId="0" xfId="0" applyFont="1" applyAlignment="1">
      <alignment horizontal="left"/>
    </xf>
    <xf fontId="0" fillId="0" borderId="0" numFmtId="0" xfId="0">
      <protection hidden="0" locked="1"/>
    </xf>
    <xf fontId="0" fillId="0" borderId="0" numFmtId="3" xfId="0" applyNumberFormat="1"/>
    <xf fontId="0" fillId="0" borderId="0" numFmtId="0" xfId="0"/>
    <xf fontId="2" fillId="0" borderId="0" numFmtId="0" xfId="0" applyFont="1"/>
    <xf fontId="3" fillId="0" borderId="0" numFmtId="0" xfId="0" applyFont="1"/>
    <xf fontId="3" fillId="0" borderId="0" numFmtId="0" xfId="0" applyFont="1">
      <protection hidden="0" locked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customWidth="1" min="1" max="1" width="27.421875"/>
    <col customWidth="1" min="3" max="3" width="31.8515625"/>
    <col bestFit="1" min="4" max="4" width="21.7109375"/>
    <col customWidth="1" min="5" max="5" width="17.7109375"/>
    <col customWidth="1" min="6" max="6" width="19.28125"/>
    <col customWidth="1" min="7" max="7" width="16.28125"/>
    <col customWidth="1" min="8" max="8" width="10.57421875"/>
    <col customWidth="1" min="9" max="9" width="22.421875"/>
    <col customWidth="1" min="10" max="10" width="16.00390625"/>
  </cols>
  <sheetData>
    <row r="1" ht="15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t="s">
        <v>6</v>
      </c>
      <c r="H1" t="s">
        <v>7</v>
      </c>
      <c r="I1" t="s">
        <v>8</v>
      </c>
      <c r="J1" t="s">
        <v>9</v>
      </c>
    </row>
    <row r="2" ht="15">
      <c r="A2" s="1" t="s">
        <v>10</v>
      </c>
      <c r="B2">
        <v>2001</v>
      </c>
      <c r="C2" t="str">
        <f t="shared" ref="C2:C9" si="0">A2&amp;"-"&amp;B2</f>
        <v xml:space="preserve">Newfoundland and Labrador-2001</v>
      </c>
      <c r="D2">
        <f>VLOOKUP(C2,mortality_collapsed!$C:$D,2,0)</f>
        <v>3440</v>
      </c>
      <c r="E2">
        <v>181</v>
      </c>
      <c r="F2">
        <v>585398</v>
      </c>
      <c r="G2" s="2">
        <v>26400</v>
      </c>
      <c r="H2" s="2">
        <v>63355</v>
      </c>
      <c r="I2" s="3">
        <v>3406</v>
      </c>
      <c r="J2">
        <v>39.826535399999997</v>
      </c>
    </row>
    <row r="3" ht="15">
      <c r="A3" s="1" t="s">
        <v>10</v>
      </c>
      <c r="B3" s="4">
        <v>2002</v>
      </c>
      <c r="C3" t="str">
        <f t="shared" si="0"/>
        <v xml:space="preserve">Newfoundland and Labrador-2002</v>
      </c>
      <c r="D3">
        <f>VLOOKUP(C3,mortality_collapsed!$C:$D,2,0)</f>
        <v>3520</v>
      </c>
      <c r="E3">
        <v>179</v>
      </c>
      <c r="F3">
        <v>583749</v>
      </c>
      <c r="G3" s="2">
        <v>26800</v>
      </c>
      <c r="H3" s="2">
        <v>64338</v>
      </c>
      <c r="I3" s="3">
        <v>3544</v>
      </c>
      <c r="J3">
        <v>41.478873239999999</v>
      </c>
    </row>
    <row r="4" ht="15">
      <c r="A4" s="1" t="s">
        <v>10</v>
      </c>
      <c r="B4" s="4">
        <v>2003</v>
      </c>
      <c r="C4" t="str">
        <f t="shared" si="0"/>
        <v xml:space="preserve">Newfoundland and Labrador-2003</v>
      </c>
      <c r="D4">
        <f>VLOOKUP(C4,mortality_collapsed!$C:$D,2,0)</f>
        <v>3528</v>
      </c>
      <c r="E4">
        <v>188</v>
      </c>
      <c r="F4">
        <v>583745</v>
      </c>
      <c r="G4" s="2">
        <v>27000</v>
      </c>
      <c r="H4" s="2">
        <v>65356</v>
      </c>
      <c r="I4" s="3">
        <v>3620</v>
      </c>
      <c r="J4">
        <v>43.533270850000001</v>
      </c>
    </row>
    <row r="5" ht="15">
      <c r="A5" s="1" t="s">
        <v>10</v>
      </c>
      <c r="B5" s="4">
        <v>2004</v>
      </c>
      <c r="C5" t="str">
        <f t="shared" si="0"/>
        <v xml:space="preserve">Newfoundland and Labrador-2004</v>
      </c>
      <c r="D5">
        <f>VLOOKUP(C5,mortality_collapsed!$C:$D,2,0)</f>
        <v>3692</v>
      </c>
      <c r="E5">
        <v>192</v>
      </c>
      <c r="F5">
        <v>584029</v>
      </c>
      <c r="G5" s="2">
        <v>26800</v>
      </c>
      <c r="H5" s="2">
        <v>66654</v>
      </c>
      <c r="I5" s="3">
        <v>3650</v>
      </c>
      <c r="J5">
        <v>42.606457650000003</v>
      </c>
    </row>
    <row r="6" ht="15">
      <c r="A6" s="1" t="s">
        <v>10</v>
      </c>
      <c r="B6" s="4">
        <v>2005</v>
      </c>
      <c r="C6" t="str">
        <f t="shared" si="0"/>
        <v xml:space="preserve">Newfoundland and Labrador-2005</v>
      </c>
      <c r="D6">
        <f>VLOOKUP(C6,mortality_collapsed!$C:$D,2,0)</f>
        <v>3594</v>
      </c>
      <c r="E6">
        <v>193</v>
      </c>
      <c r="F6">
        <v>582219</v>
      </c>
      <c r="G6" s="2">
        <v>27900</v>
      </c>
      <c r="H6" s="2">
        <v>67909</v>
      </c>
      <c r="I6" s="3">
        <v>3666</v>
      </c>
      <c r="J6">
        <v>44.178964630000003</v>
      </c>
    </row>
    <row r="7" ht="15">
      <c r="A7" s="1" t="s">
        <v>10</v>
      </c>
      <c r="B7" s="4">
        <v>2006</v>
      </c>
      <c r="C7" t="str">
        <f t="shared" si="0"/>
        <v xml:space="preserve">Newfoundland and Labrador-2006</v>
      </c>
      <c r="D7">
        <f>VLOOKUP(C7,mortality_collapsed!$C:$D,2,0)</f>
        <v>3482</v>
      </c>
      <c r="E7">
        <v>199</v>
      </c>
      <c r="F7">
        <v>580087</v>
      </c>
      <c r="G7" s="2">
        <v>29300</v>
      </c>
      <c r="H7" s="2">
        <v>69494</v>
      </c>
      <c r="I7" s="3">
        <v>3781</v>
      </c>
      <c r="J7">
        <v>43.172737959999999</v>
      </c>
    </row>
    <row r="8" ht="15">
      <c r="A8" s="1" t="s">
        <v>10</v>
      </c>
      <c r="B8" s="4">
        <v>2007</v>
      </c>
      <c r="C8" t="str">
        <f t="shared" si="0"/>
        <v xml:space="preserve">Newfoundland and Labrador-2007</v>
      </c>
      <c r="D8">
        <f>VLOOKUP(C8,mortality_collapsed!$C:$D,2,0)</f>
        <v>3420</v>
      </c>
      <c r="E8">
        <v>206</v>
      </c>
      <c r="F8">
        <v>580146</v>
      </c>
      <c r="G8" s="2">
        <v>31400</v>
      </c>
      <c r="H8" s="2">
        <v>71099</v>
      </c>
      <c r="I8" s="3">
        <v>4088</v>
      </c>
      <c r="J8">
        <v>44.052656319999997</v>
      </c>
    </row>
    <row r="9" ht="15">
      <c r="A9" s="1" t="s">
        <v>10</v>
      </c>
      <c r="B9" s="4">
        <v>2008</v>
      </c>
      <c r="C9" t="str">
        <f t="shared" si="0"/>
        <v xml:space="preserve">Newfoundland and Labrador-2008</v>
      </c>
      <c r="D9">
        <f>VLOOKUP(C9,mortality_collapsed!$C:$D,2,0)</f>
        <v>3322</v>
      </c>
      <c r="E9">
        <v>217</v>
      </c>
      <c r="F9">
        <v>584779</v>
      </c>
      <c r="G9" s="2">
        <v>33100</v>
      </c>
      <c r="H9" s="2">
        <v>73210</v>
      </c>
      <c r="I9" s="3">
        <v>4197</v>
      </c>
      <c r="J9">
        <v>45.033886420000002</v>
      </c>
    </row>
    <row r="10" ht="15">
      <c r="A10" s="1" t="s">
        <v>10</v>
      </c>
      <c r="B10" s="4">
        <v>2009</v>
      </c>
      <c r="C10" t="str">
        <f t="shared" ref="C10:C73" si="1">A10&amp;"-"&amp;B10</f>
        <v xml:space="preserve">Newfoundland and Labrador-2009</v>
      </c>
      <c r="D10">
        <f>VLOOKUP(C10,mortality_collapsed!$C:$D,2,0)</f>
        <v>3326</v>
      </c>
      <c r="E10">
        <v>216</v>
      </c>
      <c r="F10">
        <v>592525</v>
      </c>
      <c r="G10" s="2">
        <v>32900</v>
      </c>
      <c r="H10" s="2">
        <v>75784</v>
      </c>
      <c r="I10" s="3">
        <v>4364</v>
      </c>
      <c r="J10">
        <v>46.808510640000002</v>
      </c>
    </row>
    <row r="11" ht="15">
      <c r="A11" s="1" t="s">
        <v>10</v>
      </c>
      <c r="B11" s="4">
        <v>2010</v>
      </c>
      <c r="C11" t="str">
        <f t="shared" si="1"/>
        <v xml:space="preserve">Newfoundland and Labrador-2010</v>
      </c>
      <c r="D11">
        <f>VLOOKUP(C11,mortality_collapsed!$C:$D,2,0)</f>
        <v>3220</v>
      </c>
      <c r="E11">
        <v>221</v>
      </c>
      <c r="F11">
        <v>600504</v>
      </c>
      <c r="G11" s="2">
        <v>33400</v>
      </c>
      <c r="H11" s="2">
        <v>78502</v>
      </c>
      <c r="I11" s="3">
        <v>4677</v>
      </c>
      <c r="J11">
        <v>48.387834439999999</v>
      </c>
    </row>
    <row r="12" ht="15">
      <c r="A12" s="1" t="s">
        <v>10</v>
      </c>
      <c r="B12" s="4">
        <v>2011</v>
      </c>
      <c r="C12" t="str">
        <f t="shared" si="1"/>
        <v xml:space="preserve">Newfoundland and Labrador-2011</v>
      </c>
      <c r="D12">
        <f>VLOOKUP(C12,mortality_collapsed!$C:$D,2,0)</f>
        <v>3150</v>
      </c>
      <c r="E12">
        <v>225</v>
      </c>
      <c r="F12">
        <v>607275</v>
      </c>
      <c r="G12" s="2">
        <v>35300</v>
      </c>
      <c r="H12" s="2">
        <v>82320</v>
      </c>
      <c r="I12" s="3">
        <v>4743</v>
      </c>
      <c r="J12">
        <v>49.682251479999998</v>
      </c>
    </row>
    <row r="13" ht="15">
      <c r="A13" s="1" t="s">
        <v>10</v>
      </c>
      <c r="B13" s="4">
        <v>2012</v>
      </c>
      <c r="C13" t="str">
        <f t="shared" si="1"/>
        <v xml:space="preserve">Newfoundland and Labrador-2012</v>
      </c>
      <c r="D13">
        <f>VLOOKUP(C13,mortality_collapsed!$C:$D,2,0)</f>
        <v>3094</v>
      </c>
      <c r="E13">
        <v>234</v>
      </c>
      <c r="F13">
        <v>612200</v>
      </c>
      <c r="G13" s="2">
        <v>36000</v>
      </c>
      <c r="H13" s="2">
        <v>85965</v>
      </c>
      <c r="I13" s="3">
        <v>5060</v>
      </c>
      <c r="J13">
        <v>51.795798509999997</v>
      </c>
    </row>
    <row r="14" ht="15">
      <c r="A14" s="1" t="s">
        <v>10</v>
      </c>
      <c r="B14" s="4">
        <v>2013</v>
      </c>
      <c r="C14" t="str">
        <f t="shared" si="1"/>
        <v xml:space="preserve">Newfoundland and Labrador-2013</v>
      </c>
      <c r="D14">
        <f>VLOOKUP(C14,mortality_collapsed!$C:$D,2,0)</f>
        <v>3352</v>
      </c>
      <c r="E14">
        <v>241</v>
      </c>
      <c r="F14">
        <v>616368</v>
      </c>
      <c r="G14" s="2">
        <v>38900</v>
      </c>
      <c r="H14" s="2">
        <v>89408</v>
      </c>
      <c r="I14" s="3">
        <v>5008</v>
      </c>
      <c r="J14">
        <v>52.418447690000001</v>
      </c>
    </row>
    <row r="15" ht="15">
      <c r="A15" s="1" t="s">
        <v>10</v>
      </c>
      <c r="B15" s="4">
        <v>2014</v>
      </c>
      <c r="C15" t="str">
        <f t="shared" si="1"/>
        <v xml:space="preserve">Newfoundland and Labrador-2014</v>
      </c>
      <c r="D15">
        <f>VLOOKUP(C15,mortality_collapsed!$C:$D,2,0)</f>
        <v>3280</v>
      </c>
      <c r="E15">
        <v>247</v>
      </c>
      <c r="F15">
        <v>620852</v>
      </c>
      <c r="G15" s="2">
        <v>39600</v>
      </c>
      <c r="H15" s="2">
        <v>92882</v>
      </c>
      <c r="I15" s="3">
        <v>4906</v>
      </c>
      <c r="J15">
        <v>52.904238620000001</v>
      </c>
    </row>
    <row r="16" ht="15">
      <c r="A16" s="1" t="s">
        <v>10</v>
      </c>
      <c r="B16" s="4">
        <v>2015</v>
      </c>
      <c r="C16" t="str">
        <f t="shared" si="1"/>
        <v xml:space="preserve">Newfoundland and Labrador-2015</v>
      </c>
      <c r="D16">
        <f>VLOOKUP(C16,mortality_collapsed!$C:$D,2,0)</f>
        <v>3600</v>
      </c>
      <c r="E16">
        <v>243</v>
      </c>
      <c r="F16">
        <v>624559</v>
      </c>
      <c r="G16" s="2">
        <v>37600</v>
      </c>
      <c r="H16" s="2">
        <v>96211</v>
      </c>
      <c r="I16" s="3">
        <v>4975</v>
      </c>
      <c r="J16">
        <v>52.114567020000003</v>
      </c>
    </row>
    <row r="17" ht="15">
      <c r="A17" s="1" t="s">
        <v>10</v>
      </c>
      <c r="B17" s="4">
        <v>2016</v>
      </c>
      <c r="C17" t="str">
        <f t="shared" si="1"/>
        <v xml:space="preserve">Newfoundland and Labrador-2016</v>
      </c>
      <c r="D17">
        <f>VLOOKUP(C17,mortality_collapsed!$C:$D,2,0)</f>
        <v>3234</v>
      </c>
      <c r="E17">
        <v>248</v>
      </c>
      <c r="F17">
        <v>629820</v>
      </c>
      <c r="G17" s="2">
        <v>38300</v>
      </c>
      <c r="H17" s="2">
        <v>100234</v>
      </c>
      <c r="I17" s="3">
        <v>5001</v>
      </c>
      <c r="J17">
        <v>52.799464639999997</v>
      </c>
    </row>
    <row r="18" ht="15">
      <c r="A18" s="1" t="s">
        <v>10</v>
      </c>
      <c r="B18" s="4">
        <v>2017</v>
      </c>
      <c r="C18" t="str">
        <f t="shared" si="1"/>
        <v xml:space="preserve">Newfoundland and Labrador-2017</v>
      </c>
      <c r="D18">
        <f>VLOOKUP(C18,mortality_collapsed!$C:$D,2,0)</f>
        <v>3086</v>
      </c>
      <c r="E18">
        <v>254</v>
      </c>
      <c r="F18">
        <v>634233</v>
      </c>
      <c r="G18" s="2">
        <v>39300</v>
      </c>
      <c r="H18" s="2">
        <v>104491</v>
      </c>
      <c r="I18" s="3">
        <v>5005</v>
      </c>
      <c r="J18">
        <v>53.397193139999999</v>
      </c>
    </row>
    <row r="19" ht="15">
      <c r="A19" s="1" t="s">
        <v>10</v>
      </c>
      <c r="B19" s="4">
        <v>2018</v>
      </c>
      <c r="C19" t="str">
        <f t="shared" si="1"/>
        <v xml:space="preserve">Newfoundland and Labrador-2018</v>
      </c>
      <c r="D19">
        <f>VLOOKUP(C19,mortality_collapsed!$C:$D,2,0)</f>
        <v>3394</v>
      </c>
      <c r="E19">
        <v>268</v>
      </c>
      <c r="F19">
        <v>637452</v>
      </c>
      <c r="G19" s="2">
        <v>39500</v>
      </c>
      <c r="H19" s="2">
        <v>109050</v>
      </c>
      <c r="I19" s="3">
        <v>5141</v>
      </c>
      <c r="J19">
        <v>54.70142602</v>
      </c>
    </row>
    <row r="20" ht="15">
      <c r="A20" s="1" t="s">
        <v>10</v>
      </c>
      <c r="B20" s="4">
        <v>2019</v>
      </c>
      <c r="C20" t="str">
        <f t="shared" si="1"/>
        <v xml:space="preserve">Newfoundland and Labrador-2019</v>
      </c>
      <c r="D20">
        <f>VLOOKUP(C20,mortality_collapsed!$C:$D,2,0)</f>
        <v>3180</v>
      </c>
      <c r="E20">
        <v>257</v>
      </c>
      <c r="F20">
        <v>641407</v>
      </c>
      <c r="G20" s="2">
        <v>39600</v>
      </c>
      <c r="H20" s="2">
        <v>113764</v>
      </c>
      <c r="I20" s="3">
        <v>5389</v>
      </c>
      <c r="J20">
        <v>56.159500999999999</v>
      </c>
    </row>
    <row r="21" ht="15">
      <c r="A21" s="1" t="s">
        <v>10</v>
      </c>
      <c r="B21" s="4">
        <v>2020</v>
      </c>
      <c r="C21" t="str">
        <f t="shared" si="1"/>
        <v xml:space="preserve">Newfoundland and Labrador-2020</v>
      </c>
      <c r="D21">
        <f>VLOOKUP(C21,mortality_collapsed!$C:$D,2,0)</f>
        <v>3294</v>
      </c>
      <c r="E21">
        <v>258</v>
      </c>
      <c r="F21">
        <v>645354</v>
      </c>
      <c r="G21" s="2">
        <v>43100</v>
      </c>
      <c r="H21" s="2">
        <v>118470</v>
      </c>
      <c r="I21" s="3">
        <v>5244</v>
      </c>
      <c r="J21">
        <v>57.276368490000003</v>
      </c>
    </row>
    <row r="22" ht="15">
      <c r="A22" s="1" t="s">
        <v>10</v>
      </c>
      <c r="B22" s="4">
        <v>2021</v>
      </c>
      <c r="C22" t="str">
        <f t="shared" si="1"/>
        <v xml:space="preserve">Newfoundland and Labrador-2021</v>
      </c>
      <c r="D22">
        <f>VLOOKUP(C22,mortality_collapsed!$C:$D,2,0)</f>
        <v>3370</v>
      </c>
      <c r="E22">
        <v>261</v>
      </c>
      <c r="F22">
        <v>650264</v>
      </c>
      <c r="G22" s="2">
        <v>41500</v>
      </c>
      <c r="H22" s="2">
        <v>123208</v>
      </c>
      <c r="I22" s="3">
        <v>5705</v>
      </c>
      <c r="J22">
        <v>57.755555559999998</v>
      </c>
    </row>
    <row r="23" ht="15">
      <c r="A23" s="1" t="s">
        <v>10</v>
      </c>
      <c r="B23" s="4">
        <v>2022</v>
      </c>
      <c r="C23" t="str">
        <f t="shared" si="1"/>
        <v xml:space="preserve">Newfoundland and Labrador-2022</v>
      </c>
      <c r="D23">
        <f>VLOOKUP(C23,mortality_collapsed!$C:$D,2,0)</f>
        <v>3464</v>
      </c>
      <c r="E23">
        <v>266</v>
      </c>
      <c r="F23">
        <v>658232</v>
      </c>
      <c r="G23" s="2">
        <v>40600</v>
      </c>
      <c r="H23" s="2">
        <v>126975</v>
      </c>
      <c r="I23" s="3">
        <v>5829</v>
      </c>
      <c r="J23">
        <v>59.121994260000001</v>
      </c>
    </row>
    <row r="24" ht="15">
      <c r="A24" s="1" t="s">
        <v>10</v>
      </c>
      <c r="B24" s="4">
        <v>2023</v>
      </c>
      <c r="C24" t="str">
        <f t="shared" si="1"/>
        <v xml:space="preserve">Newfoundland and Labrador-2023</v>
      </c>
      <c r="D24">
        <f>VLOOKUP(C24,mortality_collapsed!$C:$D,2,0)</f>
        <v>3480</v>
      </c>
      <c r="E24">
        <v>260</v>
      </c>
      <c r="F24">
        <v>669741</v>
      </c>
      <c r="G24" s="2">
        <v>39800</v>
      </c>
      <c r="H24" s="2">
        <v>130952</v>
      </c>
      <c r="I24" s="3">
        <v>5765</v>
      </c>
      <c r="J24">
        <v>59.582336310000002</v>
      </c>
    </row>
    <row r="25" ht="14.25">
      <c r="A25" t="s">
        <v>11</v>
      </c>
      <c r="B25">
        <v>2001</v>
      </c>
      <c r="C25" t="str">
        <f t="shared" si="1"/>
        <v xml:space="preserve">Prince Edward Island-2001</v>
      </c>
      <c r="D25">
        <f>VLOOKUP(C25,mortality_collapsed!$C:$D,2,0)</f>
        <v>1002</v>
      </c>
      <c r="E25">
        <v>139</v>
      </c>
      <c r="F25">
        <v>155275</v>
      </c>
      <c r="G25" s="2">
        <v>29500</v>
      </c>
      <c r="H25" s="2">
        <v>18608</v>
      </c>
      <c r="I25" s="3">
        <v>2916</v>
      </c>
      <c r="J25">
        <v>42.022263449999997</v>
      </c>
    </row>
    <row r="26" ht="14.25">
      <c r="A26" t="s">
        <v>11</v>
      </c>
      <c r="B26">
        <v>2002</v>
      </c>
      <c r="C26" t="str">
        <f t="shared" si="1"/>
        <v xml:space="preserve">Prince Edward Island-2002</v>
      </c>
      <c r="D26">
        <f>VLOOKUP(C26,mortality_collapsed!$C:$D,2,0)</f>
        <v>1036</v>
      </c>
      <c r="E26">
        <v>140</v>
      </c>
      <c r="F26">
        <v>155720</v>
      </c>
      <c r="G26" s="2">
        <v>29900</v>
      </c>
      <c r="H26" s="2">
        <v>18838</v>
      </c>
      <c r="I26" s="3">
        <v>3125</v>
      </c>
      <c r="J26">
        <v>43.278084710000002</v>
      </c>
    </row>
    <row r="27" ht="14.25">
      <c r="A27" t="s">
        <v>11</v>
      </c>
      <c r="B27">
        <v>2003</v>
      </c>
      <c r="C27" t="str">
        <f t="shared" si="1"/>
        <v xml:space="preserve">Prince Edward Island-2003</v>
      </c>
      <c r="D27">
        <f>VLOOKUP(C27,mortality_collapsed!$C:$D,2,0)</f>
        <v>930</v>
      </c>
      <c r="E27">
        <v>142</v>
      </c>
      <c r="F27">
        <v>156290</v>
      </c>
      <c r="G27" s="2">
        <v>30700</v>
      </c>
      <c r="H27" s="2">
        <v>19059</v>
      </c>
      <c r="I27" s="3">
        <v>3156</v>
      </c>
      <c r="J27">
        <v>44.109589040000003</v>
      </c>
    </row>
    <row r="28" ht="14.25">
      <c r="A28" t="s">
        <v>11</v>
      </c>
      <c r="B28">
        <v>2004</v>
      </c>
      <c r="C28" t="str">
        <f t="shared" si="1"/>
        <v xml:space="preserve">Prince Edward Island-2004</v>
      </c>
      <c r="D28">
        <f>VLOOKUP(C28,mortality_collapsed!$C:$D,2,0)</f>
        <v>1026</v>
      </c>
      <c r="E28">
        <v>153</v>
      </c>
      <c r="F28">
        <v>156963</v>
      </c>
      <c r="G28" s="2">
        <v>32000</v>
      </c>
      <c r="H28" s="2">
        <v>19281</v>
      </c>
      <c r="I28" s="3">
        <v>3011</v>
      </c>
      <c r="J28">
        <v>46.467391300000003</v>
      </c>
    </row>
    <row r="29" ht="14.25">
      <c r="A29" t="s">
        <v>11</v>
      </c>
      <c r="B29">
        <v>2005</v>
      </c>
      <c r="C29" t="str">
        <f t="shared" si="1"/>
        <v xml:space="preserve">Prince Edward Island-2005</v>
      </c>
      <c r="D29">
        <f>VLOOKUP(C29,mortality_collapsed!$C:$D,2,0)</f>
        <v>848</v>
      </c>
      <c r="E29">
        <v>144</v>
      </c>
      <c r="F29">
        <v>157703</v>
      </c>
      <c r="G29" s="2">
        <v>32600</v>
      </c>
      <c r="H29" s="2">
        <v>19636</v>
      </c>
      <c r="I29" s="3">
        <v>3111</v>
      </c>
      <c r="J29">
        <v>45.960502689999998</v>
      </c>
    </row>
    <row r="30" ht="14.25">
      <c r="A30" t="s">
        <v>11</v>
      </c>
      <c r="B30">
        <v>2006</v>
      </c>
      <c r="C30" t="str">
        <f t="shared" si="1"/>
        <v xml:space="preserve">Prince Edward Island-2006</v>
      </c>
      <c r="D30">
        <f>VLOOKUP(C30,mortality_collapsed!$C:$D,2,0)</f>
        <v>906</v>
      </c>
      <c r="E30">
        <v>150</v>
      </c>
      <c r="F30">
        <v>157946</v>
      </c>
      <c r="G30" s="2">
        <v>34500</v>
      </c>
      <c r="H30" s="2">
        <v>20077</v>
      </c>
      <c r="I30" s="3">
        <v>3170</v>
      </c>
      <c r="J30">
        <v>45.535714290000001</v>
      </c>
    </row>
    <row r="31" ht="14.25">
      <c r="A31" t="s">
        <v>11</v>
      </c>
      <c r="B31">
        <v>2007</v>
      </c>
      <c r="C31" t="str">
        <f t="shared" si="1"/>
        <v xml:space="preserve">Prince Edward Island-2007</v>
      </c>
      <c r="D31">
        <f>VLOOKUP(C31,mortality_collapsed!$C:$D,2,0)</f>
        <v>852</v>
      </c>
      <c r="E31">
        <v>158</v>
      </c>
      <c r="F31">
        <v>158199</v>
      </c>
      <c r="G31" s="2">
        <v>34800</v>
      </c>
      <c r="H31" s="2">
        <v>20490</v>
      </c>
      <c r="I31" s="3">
        <v>3320</v>
      </c>
      <c r="J31">
        <v>45.017793589999997</v>
      </c>
    </row>
    <row r="32" ht="14.25">
      <c r="A32" t="s">
        <v>11</v>
      </c>
      <c r="B32">
        <v>2008</v>
      </c>
      <c r="C32" t="str">
        <f t="shared" si="1"/>
        <v xml:space="preserve">Prince Edward Island-2008</v>
      </c>
      <c r="D32">
        <f>VLOOKUP(C32,mortality_collapsed!$C:$D,2,0)</f>
        <v>872</v>
      </c>
      <c r="E32">
        <v>167</v>
      </c>
      <c r="F32">
        <v>159680</v>
      </c>
      <c r="G32" s="2">
        <v>35900</v>
      </c>
      <c r="H32" s="2">
        <v>20944</v>
      </c>
      <c r="I32" s="3">
        <v>3412</v>
      </c>
      <c r="J32">
        <v>44.74845543</v>
      </c>
    </row>
    <row r="33" ht="14.25">
      <c r="A33" t="s">
        <v>11</v>
      </c>
      <c r="B33">
        <v>2009</v>
      </c>
      <c r="C33" t="str">
        <f t="shared" si="1"/>
        <v xml:space="preserve">Prince Edward Island-2009</v>
      </c>
      <c r="D33">
        <f>VLOOKUP(C33,mortality_collapsed!$C:$D,2,0)</f>
        <v>894</v>
      </c>
      <c r="E33">
        <v>167</v>
      </c>
      <c r="F33">
        <v>161277</v>
      </c>
      <c r="G33" s="2">
        <v>37200</v>
      </c>
      <c r="H33" s="2">
        <v>21404</v>
      </c>
      <c r="I33" s="3">
        <v>3712</v>
      </c>
      <c r="J33">
        <v>46.637554590000001</v>
      </c>
    </row>
    <row r="34" ht="14.25">
      <c r="A34" t="s">
        <v>11</v>
      </c>
      <c r="B34">
        <v>2010</v>
      </c>
      <c r="C34" t="str">
        <f t="shared" si="1"/>
        <v xml:space="preserve">Prince Edward Island-2010</v>
      </c>
      <c r="D34">
        <f>VLOOKUP(C34,mortality_collapsed!$C:$D,2,0)</f>
        <v>706</v>
      </c>
      <c r="E34">
        <v>167</v>
      </c>
      <c r="F34">
        <v>163697</v>
      </c>
      <c r="G34" s="2">
        <v>37600</v>
      </c>
      <c r="H34" s="2">
        <v>22053</v>
      </c>
      <c r="I34" s="3">
        <v>3955</v>
      </c>
      <c r="J34">
        <v>47.553648070000001</v>
      </c>
    </row>
    <row r="35" ht="14.25">
      <c r="A35" t="s">
        <v>11</v>
      </c>
      <c r="B35">
        <v>2011</v>
      </c>
      <c r="C35" t="str">
        <f t="shared" si="1"/>
        <v xml:space="preserve">Prince Edward Island-2011</v>
      </c>
      <c r="D35">
        <f>VLOOKUP(C35,mortality_collapsed!$C:$D,2,0)</f>
        <v>862</v>
      </c>
      <c r="E35">
        <v>180</v>
      </c>
      <c r="F35">
        <v>166802</v>
      </c>
      <c r="G35" s="2">
        <v>37300</v>
      </c>
      <c r="H35" s="2">
        <v>22884</v>
      </c>
      <c r="I35" s="3">
        <v>4164</v>
      </c>
      <c r="J35">
        <v>49.873417719999999</v>
      </c>
    </row>
    <row r="36" ht="14.25">
      <c r="A36" t="s">
        <v>11</v>
      </c>
      <c r="B36">
        <v>2012</v>
      </c>
      <c r="C36" t="str">
        <f t="shared" si="1"/>
        <v xml:space="preserve">Prince Edward Island-2012</v>
      </c>
      <c r="D36">
        <f>VLOOKUP(C36,mortality_collapsed!$C:$D,2,0)</f>
        <v>740</v>
      </c>
      <c r="E36">
        <v>184</v>
      </c>
      <c r="F36">
        <v>168353</v>
      </c>
      <c r="G36" s="2">
        <v>38000</v>
      </c>
      <c r="H36" s="2">
        <v>23938</v>
      </c>
      <c r="I36" s="3">
        <v>4108</v>
      </c>
      <c r="J36">
        <v>51.006711410000001</v>
      </c>
    </row>
    <row r="37" ht="14.25">
      <c r="A37" t="s">
        <v>11</v>
      </c>
      <c r="B37">
        <v>2013</v>
      </c>
      <c r="C37" t="str">
        <f t="shared" si="1"/>
        <v xml:space="preserve">Prince Edward Island-2013</v>
      </c>
      <c r="D37">
        <f>VLOOKUP(C37,mortality_collapsed!$C:$D,2,0)</f>
        <v>842</v>
      </c>
      <c r="E37">
        <v>192</v>
      </c>
      <c r="F37">
        <v>168917</v>
      </c>
      <c r="G37" s="2">
        <v>38500</v>
      </c>
      <c r="H37" s="2">
        <v>24975</v>
      </c>
      <c r="I37" s="3">
        <v>3972</v>
      </c>
      <c r="J37">
        <v>51.301427369999999</v>
      </c>
    </row>
    <row r="38" ht="14.25">
      <c r="A38" t="s">
        <v>11</v>
      </c>
      <c r="B38">
        <v>2014</v>
      </c>
      <c r="C38" t="str">
        <f t="shared" si="1"/>
        <v xml:space="preserve">Prince Edward Island-2014</v>
      </c>
      <c r="D38">
        <f>VLOOKUP(C38,mortality_collapsed!$C:$D,2,0)</f>
        <v>860</v>
      </c>
      <c r="E38">
        <v>182</v>
      </c>
      <c r="F38">
        <v>170083</v>
      </c>
      <c r="G38" s="2">
        <v>38300</v>
      </c>
      <c r="H38" s="2">
        <v>25988</v>
      </c>
      <c r="I38" s="3">
        <v>3922</v>
      </c>
      <c r="J38">
        <v>51.215423299999998</v>
      </c>
    </row>
    <row r="39" ht="14.25">
      <c r="A39" t="s">
        <v>11</v>
      </c>
      <c r="B39">
        <v>2015</v>
      </c>
      <c r="C39" t="str">
        <f t="shared" si="1"/>
        <v xml:space="preserve">Prince Edward Island-2015</v>
      </c>
      <c r="D39">
        <f>VLOOKUP(C39,mortality_collapsed!$C:$D,2,0)</f>
        <v>844</v>
      </c>
      <c r="E39">
        <v>184</v>
      </c>
      <c r="F39">
        <v>171430</v>
      </c>
      <c r="G39" s="2">
        <v>39200</v>
      </c>
      <c r="H39" s="2">
        <v>26794</v>
      </c>
      <c r="I39" s="3">
        <v>3928</v>
      </c>
      <c r="J39">
        <v>51.37844612</v>
      </c>
    </row>
    <row r="40" ht="14.25">
      <c r="A40" t="s">
        <v>11</v>
      </c>
      <c r="B40">
        <v>2016</v>
      </c>
      <c r="C40" t="str">
        <f t="shared" si="1"/>
        <v xml:space="preserve">Prince Edward Island-2016</v>
      </c>
      <c r="D40">
        <f>VLOOKUP(C40,mortality_collapsed!$C:$D,2,0)</f>
        <v>712</v>
      </c>
      <c r="E40">
        <v>190</v>
      </c>
      <c r="F40">
        <v>174736</v>
      </c>
      <c r="G40" s="2">
        <v>37400</v>
      </c>
      <c r="H40" s="2">
        <v>27845</v>
      </c>
      <c r="I40" s="3">
        <v>4021</v>
      </c>
      <c r="J40">
        <v>54.163231660000001</v>
      </c>
    </row>
    <row r="41" ht="14.25">
      <c r="A41" t="s">
        <v>11</v>
      </c>
      <c r="B41">
        <v>2017</v>
      </c>
      <c r="C41" t="str">
        <f t="shared" si="1"/>
        <v xml:space="preserve">Prince Edward Island-2017</v>
      </c>
      <c r="D41">
        <f>VLOOKUP(C41,mortality_collapsed!$C:$D,2,0)</f>
        <v>810</v>
      </c>
      <c r="E41">
        <v>193</v>
      </c>
      <c r="F41">
        <v>178537</v>
      </c>
      <c r="G41" s="2">
        <v>39300</v>
      </c>
      <c r="H41" s="2">
        <v>28797</v>
      </c>
      <c r="I41" s="3">
        <v>4011</v>
      </c>
      <c r="J41">
        <v>55.672609399999999</v>
      </c>
    </row>
    <row r="42" ht="14.25">
      <c r="A42" t="s">
        <v>11</v>
      </c>
      <c r="B42">
        <v>2018</v>
      </c>
      <c r="C42" t="str">
        <f t="shared" si="1"/>
        <v xml:space="preserve">Prince Edward Island-2018</v>
      </c>
      <c r="D42">
        <f>VLOOKUP(C42,mortality_collapsed!$C:$D,2,0)</f>
        <v>792</v>
      </c>
      <c r="E42">
        <v>200</v>
      </c>
      <c r="F42">
        <v>182003</v>
      </c>
      <c r="G42" s="2">
        <v>39800</v>
      </c>
      <c r="H42" s="2">
        <v>29744</v>
      </c>
      <c r="I42" s="3">
        <v>4103</v>
      </c>
      <c r="J42">
        <v>54.928457870000003</v>
      </c>
    </row>
    <row r="43" ht="14.25">
      <c r="A43" t="s">
        <v>11</v>
      </c>
      <c r="B43">
        <v>2019</v>
      </c>
      <c r="C43" t="str">
        <f t="shared" si="1"/>
        <v xml:space="preserve">Prince Edward Island-2019</v>
      </c>
      <c r="D43">
        <f>VLOOKUP(C43,mortality_collapsed!$C:$D,2,0)</f>
        <v>804</v>
      </c>
      <c r="E43">
        <v>207</v>
      </c>
      <c r="F43">
        <v>186667</v>
      </c>
      <c r="G43" s="2">
        <v>40800</v>
      </c>
      <c r="H43" s="2">
        <v>30875</v>
      </c>
      <c r="I43" s="3">
        <v>4133</v>
      </c>
      <c r="J43">
        <v>54.743390359999999</v>
      </c>
    </row>
    <row r="44" ht="14.25">
      <c r="A44" t="s">
        <v>11</v>
      </c>
      <c r="B44">
        <v>2020</v>
      </c>
      <c r="C44" t="str">
        <f t="shared" si="1"/>
        <v xml:space="preserve">Prince Edward Island-2020</v>
      </c>
      <c r="D44">
        <f>VLOOKUP(C44,mortality_collapsed!$C:$D,2,0)</f>
        <v>644</v>
      </c>
      <c r="E44">
        <v>202</v>
      </c>
      <c r="F44">
        <v>191186</v>
      </c>
      <c r="G44" s="2">
        <v>43500</v>
      </c>
      <c r="H44" s="2">
        <v>31993</v>
      </c>
      <c r="I44" s="3">
        <v>4072</v>
      </c>
      <c r="J44">
        <v>57.316148599999998</v>
      </c>
    </row>
    <row r="45" ht="14.25">
      <c r="A45" t="s">
        <v>11</v>
      </c>
      <c r="B45">
        <v>2021</v>
      </c>
      <c r="C45" t="str">
        <f t="shared" si="1"/>
        <v xml:space="preserve">Prince Edward Island-2021</v>
      </c>
      <c r="D45">
        <f>VLOOKUP(C45,mortality_collapsed!$C:$D,2,0)</f>
        <v>652</v>
      </c>
      <c r="E45">
        <v>212</v>
      </c>
      <c r="F45">
        <v>195426</v>
      </c>
      <c r="G45" s="2">
        <v>42500</v>
      </c>
      <c r="H45" s="2">
        <v>33293</v>
      </c>
      <c r="I45" s="3">
        <v>4149</v>
      </c>
      <c r="J45">
        <v>57.121661719999999</v>
      </c>
    </row>
    <row r="46" ht="14.25">
      <c r="A46" t="s">
        <v>11</v>
      </c>
      <c r="B46">
        <v>2022</v>
      </c>
      <c r="C46" t="str">
        <f t="shared" si="1"/>
        <v xml:space="preserve">Prince Edward Island-2022</v>
      </c>
      <c r="D46">
        <f>VLOOKUP(C46,mortality_collapsed!$C:$D,2,0)</f>
        <v>688</v>
      </c>
      <c r="E46">
        <v>213</v>
      </c>
      <c r="F46">
        <v>201723</v>
      </c>
      <c r="G46" s="2">
        <v>42500</v>
      </c>
      <c r="H46" s="2">
        <v>34523</v>
      </c>
      <c r="I46" s="3">
        <v>4239</v>
      </c>
      <c r="J46">
        <v>59.413027919999998</v>
      </c>
    </row>
    <row r="47" ht="14.25">
      <c r="A47" t="s">
        <v>11</v>
      </c>
      <c r="B47">
        <v>2023</v>
      </c>
      <c r="C47" t="str">
        <f t="shared" si="1"/>
        <v xml:space="preserve">Prince Edward Island-2023</v>
      </c>
      <c r="D47">
        <f>VLOOKUP(C47,mortality_collapsed!$C:$D,2,0)</f>
        <v>714</v>
      </c>
      <c r="E47">
        <v>215</v>
      </c>
      <c r="F47">
        <v>209463</v>
      </c>
      <c r="G47" s="2">
        <v>42600</v>
      </c>
      <c r="H47" s="2">
        <v>35729</v>
      </c>
      <c r="I47" s="3">
        <v>4369</v>
      </c>
      <c r="J47">
        <v>60.110041270000004</v>
      </c>
    </row>
    <row r="48" ht="14.25">
      <c r="A48" t="s">
        <v>12</v>
      </c>
      <c r="B48">
        <v>2001</v>
      </c>
      <c r="C48" t="str">
        <f t="shared" si="1"/>
        <v xml:space="preserve">Nova Scotia-2001</v>
      </c>
      <c r="D48">
        <f>VLOOKUP(C48,mortality_collapsed!$C:$D,2,0)</f>
        <v>5582</v>
      </c>
      <c r="E48">
        <v>202</v>
      </c>
      <c r="F48">
        <v>1059983</v>
      </c>
      <c r="G48" s="2">
        <v>31200</v>
      </c>
      <c r="H48" s="2">
        <v>127500</v>
      </c>
      <c r="I48" s="3">
        <v>2617</v>
      </c>
      <c r="J48">
        <v>46.961325969999997</v>
      </c>
    </row>
    <row r="49" ht="14.25">
      <c r="A49" s="4" t="s">
        <v>12</v>
      </c>
      <c r="B49">
        <v>2002</v>
      </c>
      <c r="C49" t="str">
        <f t="shared" si="1"/>
        <v xml:space="preserve">Nova Scotia-2002</v>
      </c>
      <c r="D49">
        <f>VLOOKUP(C49,mortality_collapsed!$C:$D,2,0)</f>
        <v>5644</v>
      </c>
      <c r="E49">
        <v>208</v>
      </c>
      <c r="F49">
        <v>1064176</v>
      </c>
      <c r="G49" s="2">
        <v>31900</v>
      </c>
      <c r="H49" s="2">
        <v>129004</v>
      </c>
      <c r="I49" s="3">
        <v>2756</v>
      </c>
      <c r="J49">
        <v>46.240299710000002</v>
      </c>
    </row>
    <row r="50" ht="14.25">
      <c r="A50" s="4" t="s">
        <v>12</v>
      </c>
      <c r="B50">
        <v>2003</v>
      </c>
      <c r="C50" t="str">
        <f t="shared" si="1"/>
        <v xml:space="preserve">Nova Scotia-2003</v>
      </c>
      <c r="D50">
        <f>VLOOKUP(C50,mortality_collapsed!$C:$D,2,0)</f>
        <v>6038</v>
      </c>
      <c r="E50">
        <v>209</v>
      </c>
      <c r="F50">
        <v>1068515</v>
      </c>
      <c r="G50" s="2">
        <v>31300</v>
      </c>
      <c r="H50" s="2">
        <v>130834</v>
      </c>
      <c r="I50" s="3">
        <v>2966</v>
      </c>
      <c r="J50">
        <v>47.4501992</v>
      </c>
    </row>
    <row r="51" ht="14.25">
      <c r="A51" s="4" t="s">
        <v>12</v>
      </c>
      <c r="B51">
        <v>2004</v>
      </c>
      <c r="C51" t="str">
        <f t="shared" si="1"/>
        <v xml:space="preserve">Nova Scotia-2004</v>
      </c>
      <c r="D51">
        <f>VLOOKUP(C51,mortality_collapsed!$C:$D,2,0)</f>
        <v>5744</v>
      </c>
      <c r="E51">
        <v>213</v>
      </c>
      <c r="F51">
        <v>1072451</v>
      </c>
      <c r="G51" s="2">
        <v>32400</v>
      </c>
      <c r="H51" s="2">
        <v>132826</v>
      </c>
      <c r="I51" s="3">
        <v>2990</v>
      </c>
      <c r="J51">
        <v>48.878627969999997</v>
      </c>
    </row>
    <row r="52" ht="14.25">
      <c r="A52" s="4" t="s">
        <v>12</v>
      </c>
      <c r="B52">
        <v>2005</v>
      </c>
      <c r="C52" t="str">
        <f t="shared" si="1"/>
        <v xml:space="preserve">Nova Scotia-2005</v>
      </c>
      <c r="D52">
        <f>VLOOKUP(C52,mortality_collapsed!$C:$D,2,0)</f>
        <v>5692</v>
      </c>
      <c r="E52">
        <v>217</v>
      </c>
      <c r="F52">
        <v>1072578</v>
      </c>
      <c r="G52" s="2">
        <v>32700</v>
      </c>
      <c r="H52" s="2">
        <v>134647</v>
      </c>
      <c r="I52" s="3">
        <v>3168</v>
      </c>
      <c r="J52">
        <v>48.488433229999998</v>
      </c>
    </row>
    <row r="53" ht="14.25">
      <c r="A53" s="4" t="s">
        <v>12</v>
      </c>
      <c r="B53">
        <v>2006</v>
      </c>
      <c r="C53" t="str">
        <f t="shared" si="1"/>
        <v xml:space="preserve">Nova Scotia-2006</v>
      </c>
      <c r="D53">
        <f>VLOOKUP(C53,mortality_collapsed!$C:$D,2,0)</f>
        <v>5458</v>
      </c>
      <c r="E53">
        <v>218</v>
      </c>
      <c r="F53">
        <v>1075549</v>
      </c>
      <c r="G53" s="2">
        <v>35000</v>
      </c>
      <c r="H53" s="2">
        <v>137669</v>
      </c>
      <c r="I53" s="3">
        <v>3385</v>
      </c>
      <c r="J53">
        <v>48.324607329999999</v>
      </c>
    </row>
    <row r="54" ht="14.25">
      <c r="A54" s="4" t="s">
        <v>12</v>
      </c>
      <c r="B54">
        <v>2007</v>
      </c>
      <c r="C54" t="str">
        <f t="shared" si="1"/>
        <v xml:space="preserve">Nova Scotia-2007</v>
      </c>
      <c r="D54">
        <f>VLOOKUP(C54,mortality_collapsed!$C:$D,2,0)</f>
        <v>5460</v>
      </c>
      <c r="E54">
        <v>229</v>
      </c>
      <c r="F54">
        <v>1075139</v>
      </c>
      <c r="G54" s="2">
        <v>35400</v>
      </c>
      <c r="H54" s="2">
        <v>139975</v>
      </c>
      <c r="I54" s="3">
        <v>3604</v>
      </c>
      <c r="J54">
        <v>48.490393410000003</v>
      </c>
    </row>
    <row r="55" ht="14.25">
      <c r="A55" s="4" t="s">
        <v>12</v>
      </c>
      <c r="B55">
        <v>2008</v>
      </c>
      <c r="C55" t="str">
        <f t="shared" si="1"/>
        <v xml:space="preserve">Nova Scotia-2008</v>
      </c>
      <c r="D55">
        <f>VLOOKUP(C55,mortality_collapsed!$C:$D,2,0)</f>
        <v>5326</v>
      </c>
      <c r="E55">
        <v>234</v>
      </c>
      <c r="F55">
        <v>1079128</v>
      </c>
      <c r="G55" s="2">
        <v>33000</v>
      </c>
      <c r="H55" s="2">
        <v>143163</v>
      </c>
      <c r="I55" s="3">
        <v>3604</v>
      </c>
      <c r="J55">
        <v>47.805132209999996</v>
      </c>
    </row>
    <row r="56" ht="14.25">
      <c r="A56" s="4" t="s">
        <v>12</v>
      </c>
      <c r="B56">
        <v>2009</v>
      </c>
      <c r="C56" t="str">
        <f t="shared" si="1"/>
        <v xml:space="preserve">Nova Scotia-2009</v>
      </c>
      <c r="D56">
        <f>VLOOKUP(C56,mortality_collapsed!$C:$D,2,0)</f>
        <v>5220</v>
      </c>
      <c r="E56">
        <v>232</v>
      </c>
      <c r="F56">
        <v>1084867</v>
      </c>
      <c r="G56" s="2">
        <v>35300</v>
      </c>
      <c r="H56" s="2">
        <v>146601</v>
      </c>
      <c r="I56" s="3">
        <v>3665</v>
      </c>
      <c r="J56">
        <v>50.239792610000002</v>
      </c>
    </row>
    <row r="57" ht="14.25">
      <c r="A57" s="4" t="s">
        <v>12</v>
      </c>
      <c r="B57">
        <v>2010</v>
      </c>
      <c r="C57" t="str">
        <f t="shared" si="1"/>
        <v xml:space="preserve">Nova Scotia-2010</v>
      </c>
      <c r="D57">
        <f>VLOOKUP(C57,mortality_collapsed!$C:$D,2,0)</f>
        <v>5214</v>
      </c>
      <c r="E57">
        <v>226</v>
      </c>
      <c r="F57">
        <v>1092054</v>
      </c>
      <c r="G57" s="2">
        <v>35300</v>
      </c>
      <c r="H57" s="2">
        <v>149910</v>
      </c>
      <c r="I57" s="3">
        <v>3973</v>
      </c>
      <c r="J57">
        <v>52.384020620000001</v>
      </c>
    </row>
    <row r="58" ht="14.25">
      <c r="A58" s="4" t="s">
        <v>12</v>
      </c>
      <c r="B58">
        <v>2011</v>
      </c>
      <c r="C58" t="str">
        <f t="shared" si="1"/>
        <v xml:space="preserve">Nova Scotia-2011</v>
      </c>
      <c r="D58">
        <f>VLOOKUP(C58,mortality_collapsed!$C:$D,2,0)</f>
        <v>5222</v>
      </c>
      <c r="E58">
        <v>241</v>
      </c>
      <c r="F58">
        <v>1098074</v>
      </c>
      <c r="G58" s="2">
        <v>37400</v>
      </c>
      <c r="H58" s="2">
        <v>153979</v>
      </c>
      <c r="I58" s="3">
        <v>4098</v>
      </c>
      <c r="J58">
        <v>51.944551410000003</v>
      </c>
    </row>
    <row r="59" ht="14.25">
      <c r="A59" s="4" t="s">
        <v>12</v>
      </c>
      <c r="B59">
        <v>2012</v>
      </c>
      <c r="C59" t="str">
        <f t="shared" si="1"/>
        <v xml:space="preserve">Nova Scotia-2012</v>
      </c>
      <c r="D59">
        <f>VLOOKUP(C59,mortality_collapsed!$C:$D,2,0)</f>
        <v>5048</v>
      </c>
      <c r="E59">
        <v>251</v>
      </c>
      <c r="F59">
        <v>1103650</v>
      </c>
      <c r="G59" s="2">
        <v>37600</v>
      </c>
      <c r="H59" s="2">
        <v>160487</v>
      </c>
      <c r="I59" s="3">
        <v>4147</v>
      </c>
      <c r="J59">
        <v>53.76330299</v>
      </c>
    </row>
    <row r="60" ht="14.25">
      <c r="A60" s="4" t="s">
        <v>12</v>
      </c>
      <c r="B60">
        <v>2013</v>
      </c>
      <c r="C60" t="str">
        <f t="shared" si="1"/>
        <v xml:space="preserve">Nova Scotia-2013</v>
      </c>
      <c r="D60">
        <f>VLOOKUP(C60,mortality_collapsed!$C:$D,2,0)</f>
        <v>5236</v>
      </c>
      <c r="E60">
        <v>262</v>
      </c>
      <c r="F60">
        <v>1106482</v>
      </c>
      <c r="G60" s="2">
        <v>38600</v>
      </c>
      <c r="H60" s="2">
        <v>166674</v>
      </c>
      <c r="I60" s="3">
        <v>4043</v>
      </c>
      <c r="J60">
        <v>54.10299217</v>
      </c>
    </row>
    <row r="61" ht="14.25">
      <c r="A61" s="4" t="s">
        <v>12</v>
      </c>
      <c r="B61">
        <v>2014</v>
      </c>
      <c r="C61" t="str">
        <f t="shared" si="1"/>
        <v xml:space="preserve">Nova Scotia-2014</v>
      </c>
      <c r="D61">
        <f>VLOOKUP(C61,mortality_collapsed!$C:$D,2,0)</f>
        <v>5192</v>
      </c>
      <c r="E61">
        <v>262</v>
      </c>
      <c r="F61">
        <v>1110086</v>
      </c>
      <c r="G61" s="2">
        <v>38800</v>
      </c>
      <c r="H61" s="2">
        <v>172318</v>
      </c>
      <c r="I61" s="3">
        <v>4068</v>
      </c>
      <c r="J61">
        <v>54.637718399999997</v>
      </c>
    </row>
    <row r="62" ht="14.25">
      <c r="A62" s="4" t="s">
        <v>12</v>
      </c>
      <c r="B62">
        <v>2015</v>
      </c>
      <c r="C62" t="str">
        <f t="shared" si="1"/>
        <v xml:space="preserve">Nova Scotia-2015</v>
      </c>
      <c r="D62">
        <f>VLOOKUP(C62,mortality_collapsed!$C:$D,2,0)</f>
        <v>5654</v>
      </c>
      <c r="E62">
        <v>263</v>
      </c>
      <c r="F62">
        <v>1114821</v>
      </c>
      <c r="G62" s="2">
        <v>38300</v>
      </c>
      <c r="H62" s="2">
        <v>177402</v>
      </c>
      <c r="I62" s="3">
        <v>4114</v>
      </c>
      <c r="J62">
        <v>56.288580250000003</v>
      </c>
    </row>
    <row r="63" ht="14.25">
      <c r="A63" s="4" t="s">
        <v>12</v>
      </c>
      <c r="B63">
        <v>2016</v>
      </c>
      <c r="C63" t="str">
        <f t="shared" si="1"/>
        <v xml:space="preserve">Nova Scotia-2016</v>
      </c>
      <c r="D63">
        <f>VLOOKUP(C63,mortality_collapsed!$C:$D,2,0)</f>
        <v>5190</v>
      </c>
      <c r="E63">
        <v>261</v>
      </c>
      <c r="F63">
        <v>1126158</v>
      </c>
      <c r="G63" s="2">
        <v>38900</v>
      </c>
      <c r="H63" s="2">
        <v>183174</v>
      </c>
      <c r="I63" s="3">
        <v>4082</v>
      </c>
      <c r="J63">
        <v>56.324338150000003</v>
      </c>
    </row>
    <row r="64" ht="14.25">
      <c r="A64" s="4" t="s">
        <v>12</v>
      </c>
      <c r="B64">
        <v>2017</v>
      </c>
      <c r="C64" t="str">
        <f t="shared" si="1"/>
        <v xml:space="preserve">Nova Scotia-2017</v>
      </c>
      <c r="D64">
        <f>VLOOKUP(C64,mortality_collapsed!$C:$D,2,0)</f>
        <v>5314</v>
      </c>
      <c r="E64">
        <v>258</v>
      </c>
      <c r="F64">
        <v>1141501</v>
      </c>
      <c r="G64" s="2">
        <v>39300</v>
      </c>
      <c r="H64" s="2">
        <v>189342</v>
      </c>
      <c r="I64" s="3">
        <v>4089</v>
      </c>
      <c r="J64">
        <v>57.065079769999997</v>
      </c>
    </row>
    <row r="65" ht="14.25">
      <c r="A65" s="4" t="s">
        <v>12</v>
      </c>
      <c r="B65">
        <v>2018</v>
      </c>
      <c r="C65" t="str">
        <f t="shared" si="1"/>
        <v xml:space="preserve">Nova Scotia-2018</v>
      </c>
      <c r="D65">
        <f>VLOOKUP(C65,mortality_collapsed!$C:$D,2,0)</f>
        <v>5602</v>
      </c>
      <c r="E65">
        <v>272</v>
      </c>
      <c r="F65">
        <v>1157724</v>
      </c>
      <c r="G65" s="2">
        <v>39700</v>
      </c>
      <c r="H65" s="2">
        <v>195652</v>
      </c>
      <c r="I65" s="3">
        <v>4099</v>
      </c>
      <c r="J65">
        <v>57.818955799999998</v>
      </c>
    </row>
    <row r="66" ht="14.25">
      <c r="A66" s="4" t="s">
        <v>12</v>
      </c>
      <c r="B66">
        <v>2019</v>
      </c>
      <c r="C66" t="str">
        <f t="shared" si="1"/>
        <v xml:space="preserve">Nova Scotia-2019</v>
      </c>
      <c r="D66">
        <f>VLOOKUP(C66,mortality_collapsed!$C:$D,2,0)</f>
        <v>5524</v>
      </c>
      <c r="E66">
        <v>269</v>
      </c>
      <c r="F66">
        <v>1178487</v>
      </c>
      <c r="G66" s="2">
        <v>40800</v>
      </c>
      <c r="H66" s="2">
        <v>202688</v>
      </c>
      <c r="I66" s="3">
        <v>4227</v>
      </c>
      <c r="J66">
        <v>57.823885390000001</v>
      </c>
    </row>
    <row r="67" ht="14.25">
      <c r="A67" s="4" t="s">
        <v>12</v>
      </c>
      <c r="B67">
        <v>2020</v>
      </c>
      <c r="C67" t="str">
        <f t="shared" si="1"/>
        <v xml:space="preserve">Nova Scotia-2020</v>
      </c>
      <c r="D67">
        <f>VLOOKUP(C67,mortality_collapsed!$C:$D,2,0)</f>
        <v>5428</v>
      </c>
      <c r="E67">
        <v>275</v>
      </c>
      <c r="F67">
        <v>1199327</v>
      </c>
      <c r="G67" s="2">
        <v>42500</v>
      </c>
      <c r="H67" s="2">
        <v>210159</v>
      </c>
      <c r="I67" s="3">
        <v>4376</v>
      </c>
      <c r="J67">
        <v>59.69350523</v>
      </c>
    </row>
    <row r="68" ht="14.25">
      <c r="A68" s="4" t="s">
        <v>12</v>
      </c>
      <c r="B68">
        <v>2021</v>
      </c>
      <c r="C68" t="str">
        <f t="shared" si="1"/>
        <v xml:space="preserve">Nova Scotia-2021</v>
      </c>
      <c r="D68">
        <f>VLOOKUP(C68,mortality_collapsed!$C:$D,2,0)</f>
        <v>5476</v>
      </c>
      <c r="E68">
        <v>274</v>
      </c>
      <c r="F68">
        <v>1217693</v>
      </c>
      <c r="G68" s="2">
        <v>42400</v>
      </c>
      <c r="H68" s="2">
        <v>217785</v>
      </c>
      <c r="I68" s="3">
        <v>4529</v>
      </c>
      <c r="J68">
        <v>59.61099772</v>
      </c>
    </row>
    <row r="69" ht="14.25">
      <c r="A69" s="4" t="s">
        <v>12</v>
      </c>
      <c r="B69">
        <v>2022</v>
      </c>
      <c r="C69" t="str">
        <f t="shared" si="1"/>
        <v xml:space="preserve">Nova Scotia-2022</v>
      </c>
      <c r="D69">
        <f>VLOOKUP(C69,mortality_collapsed!$C:$D,2,0)</f>
        <v>5700</v>
      </c>
      <c r="E69">
        <v>269</v>
      </c>
      <c r="F69">
        <v>1249342</v>
      </c>
      <c r="G69" s="2">
        <v>40200</v>
      </c>
      <c r="H69" s="2">
        <v>225308</v>
      </c>
      <c r="I69" s="3">
        <v>4684</v>
      </c>
      <c r="J69">
        <v>60.666119389999999</v>
      </c>
    </row>
    <row r="70" ht="14.25">
      <c r="A70" s="4" t="s">
        <v>12</v>
      </c>
      <c r="B70">
        <v>2023</v>
      </c>
      <c r="C70" t="str">
        <f t="shared" si="1"/>
        <v xml:space="preserve">Nova Scotia-2023</v>
      </c>
      <c r="D70">
        <f>VLOOKUP(C70,mortality_collapsed!$C:$D,2,0)</f>
        <v>5046</v>
      </c>
      <c r="E70">
        <v>261</v>
      </c>
      <c r="F70">
        <v>1285635</v>
      </c>
      <c r="G70" s="2">
        <v>41700</v>
      </c>
      <c r="H70" s="2">
        <v>232630</v>
      </c>
      <c r="I70" s="3">
        <v>4842</v>
      </c>
      <c r="J70">
        <v>61.051551089999997</v>
      </c>
    </row>
    <row r="71" ht="14.25">
      <c r="A71" t="s">
        <v>13</v>
      </c>
      <c r="B71">
        <v>2001</v>
      </c>
      <c r="C71" t="str">
        <f t="shared" si="1"/>
        <v xml:space="preserve">New Brunswick-2001</v>
      </c>
      <c r="D71">
        <f>VLOOKUP(C71,mortality_collapsed!$C:$D,2,0)</f>
        <v>4266</v>
      </c>
      <c r="E71">
        <v>157</v>
      </c>
      <c r="F71">
        <v>849453</v>
      </c>
      <c r="G71" s="2">
        <v>30400</v>
      </c>
      <c r="H71" s="2">
        <v>99630</v>
      </c>
      <c r="I71" s="3">
        <v>2844</v>
      </c>
      <c r="J71">
        <v>40.453560109999998</v>
      </c>
    </row>
    <row r="72" ht="14.25">
      <c r="A72" t="s">
        <v>13</v>
      </c>
      <c r="B72">
        <v>2002</v>
      </c>
      <c r="C72" t="str">
        <f t="shared" si="1"/>
        <v xml:space="preserve">New Brunswick-2002</v>
      </c>
      <c r="D72">
        <f>VLOOKUP(C72,mortality_collapsed!$C:$D,2,0)</f>
        <v>4174</v>
      </c>
      <c r="E72">
        <v>158</v>
      </c>
      <c r="F72">
        <v>850113</v>
      </c>
      <c r="G72" s="2">
        <v>29300</v>
      </c>
      <c r="H72" s="2">
        <v>100738</v>
      </c>
      <c r="I72" s="3">
        <v>2908</v>
      </c>
      <c r="J72">
        <v>40.146349579999999</v>
      </c>
    </row>
    <row r="73" ht="14.25">
      <c r="A73" t="s">
        <v>13</v>
      </c>
      <c r="B73">
        <v>2003</v>
      </c>
      <c r="C73" t="str">
        <f t="shared" si="1"/>
        <v xml:space="preserve">New Brunswick-2003</v>
      </c>
      <c r="D73">
        <f>VLOOKUP(C73,mortality_collapsed!$C:$D,2,0)</f>
        <v>4464</v>
      </c>
      <c r="E73">
        <v>163</v>
      </c>
      <c r="F73">
        <v>851540</v>
      </c>
      <c r="G73" s="2">
        <v>30700</v>
      </c>
      <c r="H73" s="2">
        <v>102096</v>
      </c>
      <c r="I73" s="3">
        <v>3023</v>
      </c>
      <c r="J73">
        <v>40.984421609999998</v>
      </c>
    </row>
    <row r="74" ht="14.25">
      <c r="A74" t="s">
        <v>13</v>
      </c>
      <c r="B74">
        <v>2004</v>
      </c>
      <c r="C74" t="str">
        <f t="shared" ref="C74:C99" si="2">A74&amp;"-"&amp;B74</f>
        <v xml:space="preserve">New Brunswick-2004</v>
      </c>
      <c r="D74">
        <f>VLOOKUP(C74,mortality_collapsed!$C:$D,2,0)</f>
        <v>4456</v>
      </c>
      <c r="E74">
        <v>168</v>
      </c>
      <c r="F74">
        <v>852911</v>
      </c>
      <c r="G74" s="2">
        <v>30900</v>
      </c>
      <c r="H74" s="2">
        <v>103487</v>
      </c>
      <c r="I74" s="3">
        <v>3204</v>
      </c>
      <c r="J74">
        <v>42.349636480000001</v>
      </c>
    </row>
    <row r="75" ht="14.25">
      <c r="A75" t="s">
        <v>13</v>
      </c>
      <c r="B75">
        <v>2005</v>
      </c>
      <c r="C75" t="str">
        <f t="shared" si="2"/>
        <v xml:space="preserve">New Brunswick-2005</v>
      </c>
      <c r="D75">
        <f>VLOOKUP(C75,mortality_collapsed!$C:$D,2,0)</f>
        <v>4082</v>
      </c>
      <c r="E75">
        <v>173</v>
      </c>
      <c r="F75">
        <v>853299</v>
      </c>
      <c r="G75" s="2">
        <v>30600</v>
      </c>
      <c r="H75" s="2">
        <v>105238</v>
      </c>
      <c r="I75" s="3">
        <v>3374</v>
      </c>
      <c r="J75">
        <v>42.496701850000001</v>
      </c>
    </row>
    <row r="76" ht="14.25">
      <c r="A76" t="s">
        <v>13</v>
      </c>
      <c r="B76">
        <v>2006</v>
      </c>
      <c r="C76" t="str">
        <f t="shared" si="2"/>
        <v xml:space="preserve">New Brunswick-2006</v>
      </c>
      <c r="D76">
        <f>VLOOKUP(C76,mortality_collapsed!$C:$D,2,0)</f>
        <v>3718</v>
      </c>
      <c r="E76">
        <v>178</v>
      </c>
      <c r="F76">
        <v>853535</v>
      </c>
      <c r="G76" s="2">
        <v>32700</v>
      </c>
      <c r="H76" s="2">
        <v>107914</v>
      </c>
      <c r="I76" s="3">
        <v>3594</v>
      </c>
      <c r="J76">
        <v>43.90042862</v>
      </c>
    </row>
    <row r="77" ht="14.25">
      <c r="A77" t="s">
        <v>13</v>
      </c>
      <c r="B77">
        <v>2007</v>
      </c>
      <c r="C77" t="str">
        <f t="shared" si="2"/>
        <v xml:space="preserve">New Brunswick-2007</v>
      </c>
      <c r="D77">
        <f>VLOOKUP(C77,mortality_collapsed!$C:$D,2,0)</f>
        <v>3782</v>
      </c>
      <c r="E77">
        <v>186</v>
      </c>
      <c r="F77">
        <v>855726</v>
      </c>
      <c r="G77" s="2">
        <v>34000</v>
      </c>
      <c r="H77" s="2">
        <v>110296</v>
      </c>
      <c r="I77" s="3">
        <v>3646</v>
      </c>
      <c r="J77">
        <v>44.373149060000003</v>
      </c>
    </row>
    <row r="78" ht="14.25">
      <c r="A78" t="s">
        <v>13</v>
      </c>
      <c r="B78">
        <v>2008</v>
      </c>
      <c r="C78" t="str">
        <f t="shared" si="2"/>
        <v xml:space="preserve">New Brunswick-2008</v>
      </c>
      <c r="D78">
        <f>VLOOKUP(C78,mortality_collapsed!$C:$D,2,0)</f>
        <v>3740</v>
      </c>
      <c r="E78">
        <v>194</v>
      </c>
      <c r="F78">
        <v>859694</v>
      </c>
      <c r="G78" s="2">
        <v>34600</v>
      </c>
      <c r="H78" s="2">
        <v>112819</v>
      </c>
      <c r="I78" s="3">
        <v>3642</v>
      </c>
      <c r="J78">
        <v>46.117300129999997</v>
      </c>
    </row>
    <row r="79" ht="14.25">
      <c r="A79" t="s">
        <v>13</v>
      </c>
      <c r="B79">
        <v>2009</v>
      </c>
      <c r="C79" t="str">
        <f t="shared" si="2"/>
        <v xml:space="preserve">New Brunswick-2009</v>
      </c>
      <c r="D79">
        <f>VLOOKUP(C79,mortality_collapsed!$C:$D,2,0)</f>
        <v>3636</v>
      </c>
      <c r="E79">
        <v>195</v>
      </c>
      <c r="F79">
        <v>865801</v>
      </c>
      <c r="G79" s="2">
        <v>35300</v>
      </c>
      <c r="H79" s="2">
        <v>115845</v>
      </c>
      <c r="I79" s="3">
        <v>3733</v>
      </c>
      <c r="J79">
        <v>46.35179153</v>
      </c>
    </row>
    <row r="80" ht="14.25">
      <c r="A80" t="s">
        <v>13</v>
      </c>
      <c r="B80">
        <v>2010</v>
      </c>
      <c r="C80" t="str">
        <f t="shared" si="2"/>
        <v xml:space="preserve">New Brunswick-2010</v>
      </c>
      <c r="D80">
        <f>VLOOKUP(C80,mortality_collapsed!$C:$D,2,0)</f>
        <v>3590</v>
      </c>
      <c r="E80">
        <v>205</v>
      </c>
      <c r="F80">
        <v>871967</v>
      </c>
      <c r="G80" s="2">
        <v>35200</v>
      </c>
      <c r="H80" s="2">
        <v>118933</v>
      </c>
      <c r="I80" s="3">
        <v>3884</v>
      </c>
      <c r="J80">
        <v>46.777849740000001</v>
      </c>
    </row>
    <row r="81" ht="14.25">
      <c r="A81" t="s">
        <v>13</v>
      </c>
      <c r="B81">
        <v>2011</v>
      </c>
      <c r="C81" t="str">
        <f t="shared" si="2"/>
        <v xml:space="preserve">New Brunswick-2011</v>
      </c>
      <c r="D81">
        <f>VLOOKUP(C81,mortality_collapsed!$C:$D,2,0)</f>
        <v>3794</v>
      </c>
      <c r="E81">
        <v>213</v>
      </c>
      <c r="F81">
        <v>878218</v>
      </c>
      <c r="G81" s="2">
        <v>35600</v>
      </c>
      <c r="H81" s="2">
        <v>122628</v>
      </c>
      <c r="I81" s="3">
        <v>3901</v>
      </c>
      <c r="J81">
        <v>46.988727859999997</v>
      </c>
    </row>
    <row r="82" ht="14.25">
      <c r="A82" t="s">
        <v>13</v>
      </c>
      <c r="B82">
        <v>2012</v>
      </c>
      <c r="C82" t="str">
        <f t="shared" si="2"/>
        <v xml:space="preserve">New Brunswick-2012</v>
      </c>
      <c r="D82">
        <f>VLOOKUP(C82,mortality_collapsed!$C:$D,2,0)</f>
        <v>3686</v>
      </c>
      <c r="E82">
        <v>220</v>
      </c>
      <c r="F82">
        <v>886120</v>
      </c>
      <c r="G82" s="2">
        <v>35500</v>
      </c>
      <c r="H82" s="2">
        <v>127999</v>
      </c>
      <c r="I82" s="3">
        <v>3845</v>
      </c>
      <c r="J82">
        <v>47.675537030000001</v>
      </c>
    </row>
    <row r="83" ht="14.25">
      <c r="A83" t="s">
        <v>13</v>
      </c>
      <c r="B83">
        <v>2013</v>
      </c>
      <c r="C83" t="str">
        <f t="shared" si="2"/>
        <v xml:space="preserve">New Brunswick-2013</v>
      </c>
      <c r="D83">
        <f>VLOOKUP(C83,mortality_collapsed!$C:$D,2,0)</f>
        <v>3776</v>
      </c>
      <c r="E83">
        <v>226</v>
      </c>
      <c r="F83">
        <v>891678</v>
      </c>
      <c r="G83" s="2">
        <v>37100</v>
      </c>
      <c r="H83" s="2">
        <v>133417</v>
      </c>
      <c r="I83" s="3">
        <v>3726</v>
      </c>
      <c r="J83">
        <v>48.33706428</v>
      </c>
    </row>
    <row r="84" ht="14.25">
      <c r="A84" t="s">
        <v>13</v>
      </c>
      <c r="B84">
        <v>2014</v>
      </c>
      <c r="C84" t="str">
        <f t="shared" si="2"/>
        <v xml:space="preserve">New Brunswick-2014</v>
      </c>
      <c r="D84">
        <f>VLOOKUP(C84,mortality_collapsed!$C:$D,2,0)</f>
        <v>3872</v>
      </c>
      <c r="E84">
        <v>228</v>
      </c>
      <c r="F84">
        <v>897572</v>
      </c>
      <c r="G84" s="2">
        <v>38200</v>
      </c>
      <c r="H84" s="2">
        <v>138915</v>
      </c>
      <c r="I84" s="3">
        <v>3645</v>
      </c>
      <c r="J84">
        <v>49.80054252</v>
      </c>
    </row>
    <row r="85" ht="14.25">
      <c r="A85" t="s">
        <v>13</v>
      </c>
      <c r="B85">
        <v>2015</v>
      </c>
      <c r="C85" t="str">
        <f t="shared" si="2"/>
        <v xml:space="preserve">New Brunswick-2015</v>
      </c>
      <c r="D85">
        <f>VLOOKUP(C85,mortality_collapsed!$C:$D,2,0)</f>
        <v>4066</v>
      </c>
      <c r="E85">
        <v>220</v>
      </c>
      <c r="F85">
        <v>903007</v>
      </c>
      <c r="G85" s="2">
        <v>37500</v>
      </c>
      <c r="H85" s="2">
        <v>143781</v>
      </c>
      <c r="I85" s="3">
        <v>3706</v>
      </c>
      <c r="J85">
        <v>49.800796810000001</v>
      </c>
    </row>
    <row r="86" ht="14.25">
      <c r="A86" t="s">
        <v>13</v>
      </c>
      <c r="B86">
        <v>2016</v>
      </c>
      <c r="C86" t="str">
        <f t="shared" si="2"/>
        <v xml:space="preserve">New Brunswick-2016</v>
      </c>
      <c r="D86">
        <f>VLOOKUP(C86,mortality_collapsed!$C:$D,2,0)</f>
        <v>3756</v>
      </c>
      <c r="E86">
        <v>227</v>
      </c>
      <c r="F86">
        <v>912425</v>
      </c>
      <c r="G86" s="2">
        <v>38600</v>
      </c>
      <c r="H86" s="2">
        <v>149103</v>
      </c>
      <c r="I86" s="3">
        <v>3722</v>
      </c>
      <c r="J86">
        <v>51.205583760000003</v>
      </c>
    </row>
    <row r="87" ht="14.25">
      <c r="A87" t="s">
        <v>13</v>
      </c>
      <c r="B87">
        <v>2017</v>
      </c>
      <c r="C87" t="str">
        <f t="shared" si="2"/>
        <v xml:space="preserve">New Brunswick-2017</v>
      </c>
      <c r="D87">
        <f>VLOOKUP(C87,mortality_collapsed!$C:$D,2,0)</f>
        <v>3994</v>
      </c>
      <c r="E87">
        <v>234</v>
      </c>
      <c r="F87">
        <v>921084</v>
      </c>
      <c r="G87" s="2">
        <v>39300</v>
      </c>
      <c r="H87" s="2">
        <v>154387</v>
      </c>
      <c r="I87" s="3">
        <v>3716</v>
      </c>
      <c r="J87">
        <v>51.27152109</v>
      </c>
    </row>
    <row r="88" ht="14.25">
      <c r="A88" t="s">
        <v>13</v>
      </c>
      <c r="B88">
        <v>2018</v>
      </c>
      <c r="C88" t="str">
        <f t="shared" si="2"/>
        <v xml:space="preserve">New Brunswick-2018</v>
      </c>
      <c r="D88">
        <f>VLOOKUP(C88,mortality_collapsed!$C:$D,2,0)</f>
        <v>3962</v>
      </c>
      <c r="E88">
        <v>245</v>
      </c>
      <c r="F88">
        <v>930413</v>
      </c>
      <c r="G88" s="2">
        <v>39800</v>
      </c>
      <c r="H88" s="2">
        <v>159916</v>
      </c>
      <c r="I88" s="3">
        <v>3762</v>
      </c>
      <c r="J88">
        <v>52.356267670000001</v>
      </c>
    </row>
    <row r="89" ht="14.25">
      <c r="A89" t="s">
        <v>13</v>
      </c>
      <c r="B89">
        <v>2019</v>
      </c>
      <c r="C89" t="str">
        <f t="shared" si="2"/>
        <v xml:space="preserve">New Brunswick-2019</v>
      </c>
      <c r="D89">
        <f>VLOOKUP(C89,mortality_collapsed!$C:$D,2,0)</f>
        <v>3872</v>
      </c>
      <c r="E89">
        <v>247</v>
      </c>
      <c r="F89">
        <v>943296</v>
      </c>
      <c r="G89" s="2">
        <v>41000</v>
      </c>
      <c r="H89" s="2">
        <v>165909</v>
      </c>
      <c r="I89" s="3">
        <v>3761</v>
      </c>
      <c r="J89">
        <v>52.009971950000001</v>
      </c>
    </row>
    <row r="90" ht="14.25">
      <c r="A90" t="s">
        <v>13</v>
      </c>
      <c r="B90">
        <v>2020</v>
      </c>
      <c r="C90" t="str">
        <f t="shared" si="2"/>
        <v xml:space="preserve">New Brunswick-2020</v>
      </c>
      <c r="D90">
        <f>VLOOKUP(C90,mortality_collapsed!$C:$D,2,0)</f>
        <v>3568</v>
      </c>
      <c r="E90">
        <v>249</v>
      </c>
      <c r="F90">
        <v>955728</v>
      </c>
      <c r="G90" s="2">
        <v>42500</v>
      </c>
      <c r="H90" s="2">
        <v>172296</v>
      </c>
      <c r="I90" s="3">
        <v>3760</v>
      </c>
      <c r="J90">
        <v>53.658536589999997</v>
      </c>
    </row>
    <row r="91" ht="14.25">
      <c r="A91" t="s">
        <v>13</v>
      </c>
      <c r="B91">
        <v>2021</v>
      </c>
      <c r="C91" t="str">
        <f t="shared" si="2"/>
        <v xml:space="preserve">New Brunswick-2021</v>
      </c>
      <c r="D91">
        <f>VLOOKUP(C91,mortality_collapsed!$C:$D,2,0)</f>
        <v>3852</v>
      </c>
      <c r="E91">
        <v>256</v>
      </c>
      <c r="F91">
        <v>969454</v>
      </c>
      <c r="G91" s="2">
        <v>43100</v>
      </c>
      <c r="H91" s="2">
        <v>178652</v>
      </c>
      <c r="I91" s="3">
        <v>3985</v>
      </c>
      <c r="J91">
        <v>55.837408310000001</v>
      </c>
    </row>
    <row r="92" ht="14.25">
      <c r="A92" t="s">
        <v>13</v>
      </c>
      <c r="B92">
        <v>2022</v>
      </c>
      <c r="C92" t="str">
        <f t="shared" si="2"/>
        <v xml:space="preserve">New Brunswick-2022</v>
      </c>
      <c r="D92">
        <f>VLOOKUP(C92,mortality_collapsed!$C:$D,2,0)</f>
        <v>4056</v>
      </c>
      <c r="E92">
        <v>267</v>
      </c>
      <c r="F92">
        <v>993976</v>
      </c>
      <c r="G92" s="2">
        <v>41600</v>
      </c>
      <c r="H92" s="2">
        <v>185107</v>
      </c>
      <c r="I92" s="3">
        <v>4003</v>
      </c>
      <c r="J92">
        <v>56.233183859999997</v>
      </c>
    </row>
    <row r="93" ht="14.25">
      <c r="A93" t="s">
        <v>13</v>
      </c>
      <c r="B93">
        <v>2023</v>
      </c>
      <c r="C93" t="str">
        <f t="shared" si="2"/>
        <v xml:space="preserve">New Brunswick-2023</v>
      </c>
      <c r="D93">
        <f>VLOOKUP(C93,mortality_collapsed!$C:$D,2,0)</f>
        <v>3948</v>
      </c>
      <c r="E93">
        <v>266</v>
      </c>
      <c r="F93">
        <v>1022481</v>
      </c>
      <c r="G93" s="2">
        <v>41500</v>
      </c>
      <c r="H93" s="2">
        <v>191378</v>
      </c>
      <c r="I93" s="3">
        <v>4142</v>
      </c>
      <c r="J93">
        <v>56.93335269</v>
      </c>
    </row>
    <row r="94" ht="14.25">
      <c r="A94" t="s">
        <v>14</v>
      </c>
      <c r="B94">
        <v>2001</v>
      </c>
      <c r="C94" t="str">
        <f t="shared" si="2"/>
        <v>Quebec-2001</v>
      </c>
      <c r="D94">
        <f>VLOOKUP(C94,mortality_collapsed!$C:$D,2,0)</f>
        <v>36992</v>
      </c>
      <c r="E94">
        <v>215</v>
      </c>
      <c r="F94">
        <v>8360248</v>
      </c>
      <c r="G94" s="2">
        <v>33800</v>
      </c>
      <c r="H94" s="2">
        <v>964234</v>
      </c>
      <c r="I94" s="3">
        <v>2605</v>
      </c>
      <c r="J94">
        <v>44.840714970000001</v>
      </c>
    </row>
    <row r="95" ht="14.25">
      <c r="A95" t="s">
        <v>14</v>
      </c>
      <c r="B95">
        <v>2002</v>
      </c>
      <c r="C95" t="str">
        <f t="shared" si="2"/>
        <v>Quebec-2002</v>
      </c>
      <c r="D95">
        <f>VLOOKUP(C95,mortality_collapsed!$C:$D,2,0)</f>
        <v>37014</v>
      </c>
      <c r="E95">
        <v>212</v>
      </c>
      <c r="F95">
        <v>8419796</v>
      </c>
      <c r="G95" s="2">
        <v>34600</v>
      </c>
      <c r="H95" s="2">
        <v>978491</v>
      </c>
      <c r="I95" s="3">
        <v>2639</v>
      </c>
      <c r="J95">
        <v>46.340770929999998</v>
      </c>
    </row>
    <row r="96" ht="14.25">
      <c r="A96" t="s">
        <v>14</v>
      </c>
      <c r="B96">
        <v>2003</v>
      </c>
      <c r="C96" t="str">
        <f t="shared" si="2"/>
        <v>Quebec-2003</v>
      </c>
      <c r="D96">
        <f>VLOOKUP(C96,mortality_collapsed!$C:$D,2,0)</f>
        <v>36170</v>
      </c>
      <c r="E96">
        <v>207</v>
      </c>
      <c r="F96">
        <v>8480476</v>
      </c>
      <c r="G96" s="2">
        <v>34400</v>
      </c>
      <c r="H96" s="2">
        <v>994988</v>
      </c>
      <c r="I96" s="3">
        <v>2671</v>
      </c>
      <c r="J96">
        <v>47.941439500000001</v>
      </c>
    </row>
    <row r="97" ht="14.25">
      <c r="A97" t="s">
        <v>14</v>
      </c>
      <c r="B97">
        <v>2004</v>
      </c>
      <c r="C97" t="str">
        <f t="shared" si="2"/>
        <v>Quebec-2004</v>
      </c>
      <c r="D97">
        <f>VLOOKUP(C97,mortality_collapsed!$C:$D,2,0)</f>
        <v>35944</v>
      </c>
      <c r="E97">
        <v>214</v>
      </c>
      <c r="F97">
        <v>8548502</v>
      </c>
      <c r="G97" s="2">
        <v>35300</v>
      </c>
      <c r="H97" s="2">
        <v>1013019</v>
      </c>
      <c r="I97" s="3">
        <v>2778</v>
      </c>
      <c r="J97">
        <v>48.408844850000001</v>
      </c>
    </row>
    <row r="98" ht="14.25">
      <c r="A98" t="s">
        <v>14</v>
      </c>
      <c r="B98">
        <v>2005</v>
      </c>
      <c r="C98" t="str">
        <f t="shared" si="2"/>
        <v>Quebec-2005</v>
      </c>
      <c r="D98">
        <f>VLOOKUP(C98,mortality_collapsed!$C:$D,2,0)</f>
        <v>35478</v>
      </c>
      <c r="E98">
        <v>216</v>
      </c>
      <c r="F98">
        <v>8614513</v>
      </c>
      <c r="G98" s="2">
        <v>35200</v>
      </c>
      <c r="H98" s="2">
        <v>1033046</v>
      </c>
      <c r="I98" s="3">
        <v>2822</v>
      </c>
      <c r="J98">
        <v>50.076321</v>
      </c>
    </row>
    <row r="99" ht="14.25">
      <c r="A99" t="s">
        <v>14</v>
      </c>
      <c r="B99">
        <v>2006</v>
      </c>
      <c r="C99" t="str">
        <f t="shared" si="2"/>
        <v>Quebec-2006</v>
      </c>
      <c r="D99">
        <f>VLOOKUP(C99,mortality_collapsed!$C:$D,2,0)</f>
        <v>33984</v>
      </c>
      <c r="E99">
        <v>217</v>
      </c>
      <c r="F99">
        <v>8693832</v>
      </c>
      <c r="G99" s="2">
        <v>35500</v>
      </c>
      <c r="H99" s="2">
        <v>1061931</v>
      </c>
      <c r="I99" s="3">
        <v>2929</v>
      </c>
      <c r="J99">
        <v>51.011755639999997</v>
      </c>
    </row>
    <row r="100" ht="14.25">
      <c r="A100" t="s">
        <v>14</v>
      </c>
      <c r="B100">
        <v>2007</v>
      </c>
      <c r="C100" t="str">
        <f t="shared" ref="C100:C163" si="3">A100&amp;"-"&amp;B100</f>
        <v>Quebec-2007</v>
      </c>
      <c r="D100">
        <f>VLOOKUP(C100,mortality_collapsed!$C:$D,2,0)</f>
        <v>34816</v>
      </c>
      <c r="E100">
        <v>218</v>
      </c>
      <c r="F100">
        <v>8786460</v>
      </c>
      <c r="G100" s="2">
        <v>36300</v>
      </c>
      <c r="H100" s="2">
        <v>1094060</v>
      </c>
      <c r="I100" s="3">
        <v>3050</v>
      </c>
      <c r="J100">
        <v>51.746898109999997</v>
      </c>
    </row>
    <row r="101" ht="14.25">
      <c r="A101" t="s">
        <v>14</v>
      </c>
      <c r="B101">
        <v>2008</v>
      </c>
      <c r="C101" t="str">
        <f t="shared" si="3"/>
        <v>Quebec-2008</v>
      </c>
      <c r="D101">
        <f>VLOOKUP(C101,mortality_collapsed!$C:$D,2,0)</f>
        <v>34832</v>
      </c>
      <c r="E101">
        <v>220</v>
      </c>
      <c r="F101">
        <v>8892677</v>
      </c>
      <c r="G101" s="2">
        <v>35600</v>
      </c>
      <c r="H101" s="2">
        <v>1131063</v>
      </c>
      <c r="I101" s="3">
        <v>3098</v>
      </c>
      <c r="J101">
        <v>51.851967909999999</v>
      </c>
    </row>
    <row r="102" ht="14.25">
      <c r="A102" t="s">
        <v>14</v>
      </c>
      <c r="B102">
        <v>2009</v>
      </c>
      <c r="C102" t="str">
        <f t="shared" si="3"/>
        <v>Quebec-2009</v>
      </c>
      <c r="D102">
        <f>VLOOKUP(C102,mortality_collapsed!$C:$D,2,0)</f>
        <v>34682</v>
      </c>
      <c r="E102">
        <v>222</v>
      </c>
      <c r="F102">
        <v>9013869</v>
      </c>
      <c r="G102" s="2">
        <v>36800</v>
      </c>
      <c r="H102" s="2">
        <v>1169954</v>
      </c>
      <c r="I102" s="3">
        <v>3245</v>
      </c>
      <c r="J102">
        <v>52.261446399999997</v>
      </c>
    </row>
    <row r="103" ht="14.25">
      <c r="A103" t="s">
        <v>14</v>
      </c>
      <c r="B103">
        <v>2010</v>
      </c>
      <c r="C103" t="str">
        <f t="shared" si="3"/>
        <v>Quebec-2010</v>
      </c>
      <c r="D103">
        <f>VLOOKUP(C103,mortality_collapsed!$C:$D,2,0)</f>
        <v>34440</v>
      </c>
      <c r="E103">
        <v>224</v>
      </c>
      <c r="F103">
        <v>9141980</v>
      </c>
      <c r="G103" s="2">
        <v>36700</v>
      </c>
      <c r="H103" s="2">
        <v>1212501</v>
      </c>
      <c r="I103" s="3">
        <v>3313</v>
      </c>
      <c r="J103">
        <v>53.521406120000002</v>
      </c>
    </row>
    <row r="104" ht="14.25">
      <c r="A104" t="s">
        <v>14</v>
      </c>
      <c r="B104">
        <v>2011</v>
      </c>
      <c r="C104" t="str">
        <f t="shared" si="3"/>
        <v>Quebec-2011</v>
      </c>
      <c r="D104">
        <f>VLOOKUP(C104,mortality_collapsed!$C:$D,2,0)</f>
        <v>33936</v>
      </c>
      <c r="E104">
        <v>231</v>
      </c>
      <c r="F104">
        <v>9260929</v>
      </c>
      <c r="G104" s="2">
        <v>36700</v>
      </c>
      <c r="H104" s="2">
        <v>1256193</v>
      </c>
      <c r="I104" s="3">
        <v>3289</v>
      </c>
      <c r="J104">
        <v>54.53845922</v>
      </c>
    </row>
    <row r="105" ht="14.25">
      <c r="A105" t="s">
        <v>14</v>
      </c>
      <c r="B105">
        <v>2012</v>
      </c>
      <c r="C105" t="str">
        <f t="shared" si="3"/>
        <v>Quebec-2012</v>
      </c>
      <c r="D105">
        <f>VLOOKUP(C105,mortality_collapsed!$C:$D,2,0)</f>
        <v>34196</v>
      </c>
      <c r="E105">
        <v>236</v>
      </c>
      <c r="F105">
        <v>9361226</v>
      </c>
      <c r="G105" s="2">
        <v>38000</v>
      </c>
      <c r="H105" s="2">
        <v>1301474</v>
      </c>
      <c r="I105" s="3">
        <v>3280</v>
      </c>
      <c r="J105">
        <v>56.265547730000002</v>
      </c>
    </row>
    <row r="106" ht="14.25">
      <c r="A106" t="s">
        <v>14</v>
      </c>
      <c r="B106">
        <v>2013</v>
      </c>
      <c r="C106" t="str">
        <f t="shared" si="3"/>
        <v>Quebec-2013</v>
      </c>
      <c r="D106">
        <f>VLOOKUP(C106,mortality_collapsed!$C:$D,2,0)</f>
        <v>35354</v>
      </c>
      <c r="E106">
        <v>239</v>
      </c>
      <c r="F106">
        <v>9453046</v>
      </c>
      <c r="G106" s="2">
        <v>39300</v>
      </c>
      <c r="H106" s="2">
        <v>1344221</v>
      </c>
      <c r="I106" s="3">
        <v>3254</v>
      </c>
      <c r="J106">
        <v>56.243476190000003</v>
      </c>
    </row>
    <row r="107" ht="14.25">
      <c r="A107" t="s">
        <v>14</v>
      </c>
      <c r="B107">
        <v>2014</v>
      </c>
      <c r="C107" t="str">
        <f t="shared" si="3"/>
        <v>Quebec-2014</v>
      </c>
      <c r="D107">
        <f>VLOOKUP(C107,mortality_collapsed!$C:$D,2,0)</f>
        <v>35624</v>
      </c>
      <c r="E107">
        <v>242</v>
      </c>
      <c r="F107">
        <v>9536514</v>
      </c>
      <c r="G107" s="2">
        <v>39600</v>
      </c>
      <c r="H107" s="2">
        <v>1388979</v>
      </c>
      <c r="I107" s="3">
        <v>3245</v>
      </c>
      <c r="J107">
        <v>57.294622830000002</v>
      </c>
    </row>
    <row r="108" ht="14.25">
      <c r="A108" t="s">
        <v>14</v>
      </c>
      <c r="B108">
        <v>2015</v>
      </c>
      <c r="C108" t="str">
        <f t="shared" si="3"/>
        <v>Quebec-2015</v>
      </c>
      <c r="D108">
        <f>VLOOKUP(C108,mortality_collapsed!$C:$D,2,0)</f>
        <v>36548</v>
      </c>
      <c r="E108">
        <v>245</v>
      </c>
      <c r="F108">
        <v>9605169</v>
      </c>
      <c r="G108" s="2">
        <v>39100</v>
      </c>
      <c r="H108" s="2">
        <v>1429426</v>
      </c>
      <c r="I108" s="3">
        <v>3464</v>
      </c>
      <c r="J108">
        <v>58.069439709999997</v>
      </c>
    </row>
    <row r="109" ht="14.25">
      <c r="A109" t="s">
        <v>14</v>
      </c>
      <c r="B109">
        <v>2016</v>
      </c>
      <c r="C109" t="str">
        <f t="shared" si="3"/>
        <v>Quebec-2016</v>
      </c>
      <c r="D109">
        <f>VLOOKUP(C109,mortality_collapsed!$C:$D,2,0)</f>
        <v>34018</v>
      </c>
      <c r="E109">
        <v>246</v>
      </c>
      <c r="F109">
        <v>9701433</v>
      </c>
      <c r="G109" s="2">
        <v>40000</v>
      </c>
      <c r="H109" s="2">
        <v>1476397</v>
      </c>
      <c r="I109" s="3">
        <v>3448</v>
      </c>
      <c r="J109">
        <v>58.335667839999999</v>
      </c>
    </row>
    <row r="110" ht="14.25">
      <c r="A110" t="s">
        <v>14</v>
      </c>
      <c r="B110">
        <v>2017</v>
      </c>
      <c r="C110" t="str">
        <f t="shared" si="3"/>
        <v>Quebec-2017</v>
      </c>
      <c r="D110">
        <f>VLOOKUP(C110,mortality_collapsed!$C:$D,2,0)</f>
        <v>35320</v>
      </c>
      <c r="E110">
        <v>252</v>
      </c>
      <c r="F110">
        <v>9816335</v>
      </c>
      <c r="G110" s="2">
        <v>40600</v>
      </c>
      <c r="H110" s="2">
        <v>1523503</v>
      </c>
      <c r="I110" s="3">
        <v>3500</v>
      </c>
      <c r="J110">
        <v>59.957286209999999</v>
      </c>
    </row>
    <row r="111" ht="14.25">
      <c r="A111" t="s">
        <v>14</v>
      </c>
      <c r="B111">
        <v>2018</v>
      </c>
      <c r="C111" t="str">
        <f t="shared" si="3"/>
        <v>Quebec-2018</v>
      </c>
      <c r="D111">
        <f>VLOOKUP(C111,mortality_collapsed!$C:$D,2,0)</f>
        <v>36770</v>
      </c>
      <c r="E111">
        <v>249</v>
      </c>
      <c r="F111">
        <v>9957530</v>
      </c>
      <c r="G111" s="2">
        <v>40900</v>
      </c>
      <c r="H111" s="2">
        <v>1570579</v>
      </c>
      <c r="I111" s="3">
        <v>3619</v>
      </c>
      <c r="J111">
        <v>60.423971950000002</v>
      </c>
    </row>
    <row r="112" ht="14.25">
      <c r="A112" t="s">
        <v>14</v>
      </c>
      <c r="B112">
        <v>2019</v>
      </c>
      <c r="C112" t="str">
        <f t="shared" si="3"/>
        <v>Quebec-2019</v>
      </c>
      <c r="D112">
        <f>VLOOKUP(C112,mortality_collapsed!$C:$D,2,0)</f>
        <v>34548</v>
      </c>
      <c r="E112">
        <v>253</v>
      </c>
      <c r="F112">
        <v>10105988</v>
      </c>
      <c r="G112" s="2">
        <v>42400</v>
      </c>
      <c r="H112" s="2">
        <v>1622802</v>
      </c>
      <c r="I112" s="3">
        <v>3708</v>
      </c>
      <c r="J112">
        <v>61.672488889999997</v>
      </c>
    </row>
    <row r="113" ht="14.25">
      <c r="A113" t="s">
        <v>14</v>
      </c>
      <c r="B113">
        <v>2020</v>
      </c>
      <c r="C113" t="str">
        <f t="shared" si="3"/>
        <v>Quebec-2020</v>
      </c>
      <c r="D113">
        <f>VLOOKUP(C113,mortality_collapsed!$C:$D,2,0)</f>
        <v>34694</v>
      </c>
      <c r="E113">
        <v>258</v>
      </c>
      <c r="F113">
        <v>10224466</v>
      </c>
      <c r="G113" s="2">
        <v>45000</v>
      </c>
      <c r="H113" s="2">
        <v>1673371</v>
      </c>
      <c r="I113" s="3">
        <v>4260</v>
      </c>
      <c r="J113">
        <v>62.001964379999997</v>
      </c>
    </row>
    <row r="114" ht="14.25">
      <c r="A114" t="s">
        <v>14</v>
      </c>
      <c r="B114">
        <v>2021</v>
      </c>
      <c r="C114" t="str">
        <f t="shared" si="3"/>
        <v>Quebec-2021</v>
      </c>
      <c r="D114">
        <f>VLOOKUP(C114,mortality_collapsed!$C:$D,2,0)</f>
        <v>33360</v>
      </c>
      <c r="E114">
        <v>262</v>
      </c>
      <c r="F114">
        <v>10299312</v>
      </c>
      <c r="G114" s="2">
        <v>46000</v>
      </c>
      <c r="H114" s="2">
        <v>1727292</v>
      </c>
      <c r="I114" s="3">
        <v>4497</v>
      </c>
      <c r="J114">
        <v>62.903910959999997</v>
      </c>
    </row>
    <row r="115" ht="14.25">
      <c r="A115" t="s">
        <v>14</v>
      </c>
      <c r="B115">
        <v>2022</v>
      </c>
      <c r="C115" t="str">
        <f t="shared" si="3"/>
        <v>Quebec-2022</v>
      </c>
      <c r="D115">
        <f>VLOOKUP(C115,mortality_collapsed!$C:$D,2,0)</f>
        <v>36842</v>
      </c>
      <c r="E115">
        <v>262</v>
      </c>
      <c r="F115">
        <v>10457602</v>
      </c>
      <c r="G115" s="2">
        <v>45600</v>
      </c>
      <c r="H115" s="2">
        <v>1787639</v>
      </c>
      <c r="I115" s="3">
        <v>4186</v>
      </c>
      <c r="J115">
        <v>63.614674260000001</v>
      </c>
    </row>
    <row r="116" ht="14.25">
      <c r="A116" t="s">
        <v>14</v>
      </c>
      <c r="B116">
        <v>2023</v>
      </c>
      <c r="C116" t="str">
        <f t="shared" si="3"/>
        <v>Quebec-2023</v>
      </c>
      <c r="D116">
        <f>VLOOKUP(C116,mortality_collapsed!$C:$D,2,0)</f>
        <v>36906</v>
      </c>
      <c r="E116">
        <v>261</v>
      </c>
      <c r="F116">
        <v>10668985</v>
      </c>
      <c r="G116" s="2">
        <v>45300</v>
      </c>
      <c r="H116" s="2">
        <v>1847289</v>
      </c>
      <c r="I116" s="3">
        <v>4153</v>
      </c>
      <c r="J116">
        <v>64.100831529999994</v>
      </c>
    </row>
    <row r="117" ht="14.25">
      <c r="A117" t="s">
        <v>15</v>
      </c>
      <c r="B117" s="2">
        <v>2001</v>
      </c>
      <c r="C117" t="str">
        <f t="shared" si="3"/>
        <v>Ontario-2001</v>
      </c>
      <c r="D117">
        <f>VLOOKUP(C117,mortality_collapsed!$C:$D,2,0)</f>
        <v>64298</v>
      </c>
      <c r="E117">
        <v>181</v>
      </c>
      <c r="F117">
        <v>13386761</v>
      </c>
      <c r="G117" s="2">
        <v>39500</v>
      </c>
      <c r="H117" s="2">
        <v>1489288</v>
      </c>
      <c r="I117" s="3">
        <v>2756</v>
      </c>
      <c r="J117">
        <v>44.733173720000003</v>
      </c>
    </row>
    <row r="118" ht="14.25">
      <c r="A118" s="4" t="s">
        <v>15</v>
      </c>
      <c r="B118" s="2">
        <v>2002</v>
      </c>
      <c r="C118" t="str">
        <f t="shared" si="3"/>
        <v>Ontario-2002</v>
      </c>
      <c r="D118">
        <f>VLOOKUP(C118,mortality_collapsed!$C:$D,2,0)</f>
        <v>64912</v>
      </c>
      <c r="E118">
        <v>180</v>
      </c>
      <c r="F118">
        <v>13613247</v>
      </c>
      <c r="G118" s="2">
        <v>39400</v>
      </c>
      <c r="H118" s="2">
        <v>1519835</v>
      </c>
      <c r="I118" s="3">
        <v>2831</v>
      </c>
      <c r="J118">
        <v>45.595076669999997</v>
      </c>
    </row>
    <row r="119" ht="14.25">
      <c r="A119" s="4" t="s">
        <v>15</v>
      </c>
      <c r="B119" s="2">
        <v>2003</v>
      </c>
      <c r="C119" t="str">
        <f t="shared" si="3"/>
        <v>Ontario-2003</v>
      </c>
      <c r="D119">
        <f>VLOOKUP(C119,mortality_collapsed!$C:$D,2,0)</f>
        <v>65446</v>
      </c>
      <c r="E119">
        <v>178</v>
      </c>
      <c r="F119">
        <v>13793656</v>
      </c>
      <c r="G119" s="2">
        <v>39000</v>
      </c>
      <c r="H119" s="2">
        <v>1550015</v>
      </c>
      <c r="I119" s="3">
        <v>3024</v>
      </c>
      <c r="J119">
        <v>46.388811939999997</v>
      </c>
    </row>
    <row r="120" ht="14.25">
      <c r="A120" s="4" t="s">
        <v>15</v>
      </c>
      <c r="B120" s="2">
        <v>2004</v>
      </c>
      <c r="C120" t="str">
        <f t="shared" si="3"/>
        <v>Ontario-2004</v>
      </c>
      <c r="D120">
        <f>VLOOKUP(C120,mortality_collapsed!$C:$D,2,0)</f>
        <v>63458</v>
      </c>
      <c r="E120">
        <v>178</v>
      </c>
      <c r="F120">
        <v>13971989</v>
      </c>
      <c r="G120" s="2">
        <v>38400</v>
      </c>
      <c r="H120" s="2">
        <v>1582348</v>
      </c>
      <c r="I120" s="3">
        <v>3159</v>
      </c>
      <c r="J120">
        <v>46.802451810000001</v>
      </c>
    </row>
    <row r="121" ht="14.25">
      <c r="A121" s="4" t="s">
        <v>15</v>
      </c>
      <c r="B121" s="2">
        <v>2005</v>
      </c>
      <c r="C121" t="str">
        <f t="shared" si="3"/>
        <v>Ontario-2005</v>
      </c>
      <c r="D121">
        <f>VLOOKUP(C121,mortality_collapsed!$C:$D,2,0)</f>
        <v>63752</v>
      </c>
      <c r="E121">
        <v>178</v>
      </c>
      <c r="F121">
        <v>14139942</v>
      </c>
      <c r="G121" s="2">
        <v>38900</v>
      </c>
      <c r="H121" s="2">
        <v>1612361</v>
      </c>
      <c r="I121" s="3">
        <v>3212</v>
      </c>
      <c r="J121">
        <v>48.48255837</v>
      </c>
    </row>
    <row r="122" ht="14.25">
      <c r="A122" s="4" t="s">
        <v>15</v>
      </c>
      <c r="B122" s="2">
        <v>2006</v>
      </c>
      <c r="C122" t="str">
        <f t="shared" si="3"/>
        <v>Ontario-2006</v>
      </c>
      <c r="D122">
        <f>VLOOKUP(C122,mortality_collapsed!$C:$D,2,0)</f>
        <v>59652</v>
      </c>
      <c r="E122">
        <v>175</v>
      </c>
      <c r="F122">
        <v>14313553</v>
      </c>
      <c r="G122" s="2">
        <v>38700</v>
      </c>
      <c r="H122" s="2">
        <v>1651600</v>
      </c>
      <c r="I122" s="3">
        <v>3282</v>
      </c>
      <c r="J122">
        <v>49.645237160000001</v>
      </c>
    </row>
    <row r="123" ht="14.25">
      <c r="A123" s="4" t="s">
        <v>15</v>
      </c>
      <c r="B123" s="2">
        <v>2007</v>
      </c>
      <c r="C123" t="str">
        <f t="shared" si="3"/>
        <v>Ontario-2007</v>
      </c>
      <c r="D123">
        <f>VLOOKUP(C123,mortality_collapsed!$C:$D,2,0)</f>
        <v>60652</v>
      </c>
      <c r="E123">
        <v>177</v>
      </c>
      <c r="F123">
        <v>14454966</v>
      </c>
      <c r="G123" s="2">
        <v>39000</v>
      </c>
      <c r="H123" s="2">
        <v>1689833</v>
      </c>
      <c r="I123" s="3">
        <v>3444</v>
      </c>
      <c r="J123">
        <v>50.992659160000002</v>
      </c>
    </row>
    <row r="124" ht="14.25">
      <c r="A124" s="4" t="s">
        <v>15</v>
      </c>
      <c r="B124" s="2">
        <v>2008</v>
      </c>
      <c r="C124" t="str">
        <f t="shared" si="3"/>
        <v>Ontario-2008</v>
      </c>
      <c r="D124">
        <f>VLOOKUP(C124,mortality_collapsed!$C:$D,2,0)</f>
        <v>60188</v>
      </c>
      <c r="E124">
        <v>179</v>
      </c>
      <c r="F124">
        <v>14619055</v>
      </c>
      <c r="G124" s="2">
        <v>39800</v>
      </c>
      <c r="H124" s="2">
        <v>1735231</v>
      </c>
      <c r="I124" s="3">
        <v>3468</v>
      </c>
      <c r="J124">
        <v>51.256973879999997</v>
      </c>
    </row>
    <row r="125" ht="14.25">
      <c r="A125" s="4" t="s">
        <v>15</v>
      </c>
      <c r="B125" s="2">
        <v>2009</v>
      </c>
      <c r="C125" t="str">
        <f t="shared" si="3"/>
        <v>Ontario-2009</v>
      </c>
      <c r="D125">
        <f>VLOOKUP(C125,mortality_collapsed!$C:$D,2,0)</f>
        <v>60212</v>
      </c>
      <c r="E125">
        <v>189</v>
      </c>
      <c r="F125">
        <v>14781678</v>
      </c>
      <c r="G125" s="2">
        <v>38900</v>
      </c>
      <c r="H125" s="2">
        <v>1782737</v>
      </c>
      <c r="I125" s="3">
        <v>3531</v>
      </c>
      <c r="J125">
        <v>51.499446749999997</v>
      </c>
    </row>
    <row r="126" ht="14.25">
      <c r="A126" s="4" t="s">
        <v>15</v>
      </c>
      <c r="B126" s="2">
        <v>2010</v>
      </c>
      <c r="C126" t="str">
        <f t="shared" si="3"/>
        <v>Ontario-2010</v>
      </c>
      <c r="D126">
        <f>VLOOKUP(C126,mortality_collapsed!$C:$D,2,0)</f>
        <v>58224</v>
      </c>
      <c r="E126">
        <v>191</v>
      </c>
      <c r="F126">
        <v>14968778</v>
      </c>
      <c r="G126" s="2">
        <v>39100</v>
      </c>
      <c r="H126" s="2">
        <v>1832297</v>
      </c>
      <c r="I126" s="3">
        <v>3617</v>
      </c>
      <c r="J126">
        <v>52.403397419999997</v>
      </c>
    </row>
    <row r="127" ht="14.25">
      <c r="A127" s="4" t="s">
        <v>15</v>
      </c>
      <c r="B127" s="2">
        <v>2011</v>
      </c>
      <c r="C127" t="str">
        <f t="shared" si="3"/>
        <v>Ontario-2011</v>
      </c>
      <c r="D127">
        <f>VLOOKUP(C127,mortality_collapsed!$C:$D,2,0)</f>
        <v>57848</v>
      </c>
      <c r="E127">
        <v>197</v>
      </c>
      <c r="F127">
        <v>15151026</v>
      </c>
      <c r="G127" s="2">
        <v>39000</v>
      </c>
      <c r="H127" s="2">
        <v>1888681</v>
      </c>
      <c r="I127" s="3">
        <v>3567</v>
      </c>
      <c r="J127">
        <v>53.137620089999999</v>
      </c>
    </row>
    <row r="128" ht="14.25">
      <c r="A128" s="4" t="s">
        <v>15</v>
      </c>
      <c r="B128" s="2">
        <v>2012</v>
      </c>
      <c r="C128" t="str">
        <f t="shared" si="3"/>
        <v>Ontario-2012</v>
      </c>
      <c r="D128">
        <f>VLOOKUP(C128,mortality_collapsed!$C:$D,2,0)</f>
        <v>57452</v>
      </c>
      <c r="E128">
        <v>204</v>
      </c>
      <c r="F128">
        <v>15361334</v>
      </c>
      <c r="G128" s="2">
        <v>39200</v>
      </c>
      <c r="H128" s="2">
        <v>1968970</v>
      </c>
      <c r="I128" s="3">
        <v>3639</v>
      </c>
      <c r="J128">
        <v>53.503295020000003</v>
      </c>
    </row>
    <row r="129" ht="14.25">
      <c r="A129" s="4" t="s">
        <v>15</v>
      </c>
      <c r="B129" s="2">
        <v>2013</v>
      </c>
      <c r="C129" t="str">
        <f t="shared" si="3"/>
        <v>Ontario-2013</v>
      </c>
      <c r="D129">
        <f>VLOOKUP(C129,mortality_collapsed!$C:$D,2,0)</f>
        <v>58492</v>
      </c>
      <c r="E129">
        <v>210</v>
      </c>
      <c r="F129">
        <v>15560263</v>
      </c>
      <c r="G129" s="2">
        <v>39900</v>
      </c>
      <c r="H129" s="2">
        <v>2048361</v>
      </c>
      <c r="I129" s="3">
        <v>3601</v>
      </c>
      <c r="J129">
        <v>54.108106159999998</v>
      </c>
    </row>
    <row r="130" ht="14.25">
      <c r="A130" s="4" t="s">
        <v>15</v>
      </c>
      <c r="B130" s="2">
        <v>2014</v>
      </c>
      <c r="C130" t="str">
        <f t="shared" si="3"/>
        <v>Ontario-2014</v>
      </c>
      <c r="D130">
        <f>VLOOKUP(C130,mortality_collapsed!$C:$D,2,0)</f>
        <v>59802</v>
      </c>
      <c r="E130">
        <v>216</v>
      </c>
      <c r="F130">
        <v>15738325</v>
      </c>
      <c r="G130" s="2">
        <v>41200</v>
      </c>
      <c r="H130" s="2">
        <v>2120562</v>
      </c>
      <c r="I130" s="3">
        <v>3620</v>
      </c>
      <c r="J130">
        <v>53.941192770000001</v>
      </c>
    </row>
    <row r="131" ht="14.25">
      <c r="A131" s="4" t="s">
        <v>15</v>
      </c>
      <c r="B131" s="2">
        <v>2015</v>
      </c>
      <c r="C131" t="str">
        <f t="shared" si="3"/>
        <v>Ontario-2015</v>
      </c>
      <c r="D131">
        <f>VLOOKUP(C131,mortality_collapsed!$C:$D,2,0)</f>
        <v>60086</v>
      </c>
      <c r="E131">
        <v>222</v>
      </c>
      <c r="F131">
        <v>15897113</v>
      </c>
      <c r="G131" s="2">
        <v>41000</v>
      </c>
      <c r="H131" s="2">
        <v>2187820</v>
      </c>
      <c r="I131" s="3">
        <v>3667</v>
      </c>
      <c r="J131">
        <v>55.447353479999997</v>
      </c>
    </row>
    <row r="132" ht="14.25">
      <c r="A132" s="4" t="s">
        <v>15</v>
      </c>
      <c r="B132" s="2">
        <v>2016</v>
      </c>
      <c r="C132" t="str">
        <f t="shared" si="3"/>
        <v>Ontario-2016</v>
      </c>
      <c r="D132">
        <f>VLOOKUP(C132,mortality_collapsed!$C:$D,2,0)</f>
        <v>59366</v>
      </c>
      <c r="E132">
        <v>224</v>
      </c>
      <c r="F132">
        <v>16137152</v>
      </c>
      <c r="G132" s="2">
        <v>41000</v>
      </c>
      <c r="H132" s="2">
        <v>2260652</v>
      </c>
      <c r="I132" s="3">
        <v>3679</v>
      </c>
      <c r="J132">
        <v>56.353654050000003</v>
      </c>
    </row>
    <row r="133" ht="14.25">
      <c r="A133" s="4" t="s">
        <v>15</v>
      </c>
      <c r="B133" s="2">
        <v>2017</v>
      </c>
      <c r="C133" t="str">
        <f t="shared" si="3"/>
        <v>Ontario-2017</v>
      </c>
      <c r="D133">
        <f>VLOOKUP(C133,mortality_collapsed!$C:$D,2,0)</f>
        <v>60696</v>
      </c>
      <c r="E133">
        <v>228</v>
      </c>
      <c r="F133">
        <v>16416519</v>
      </c>
      <c r="G133" s="2">
        <v>41700</v>
      </c>
      <c r="H133" s="2">
        <v>2338020</v>
      </c>
      <c r="I133" s="3">
        <v>3676</v>
      </c>
      <c r="J133">
        <v>56.394196809999997</v>
      </c>
    </row>
    <row r="134" ht="14.25">
      <c r="A134" s="4" t="s">
        <v>15</v>
      </c>
      <c r="B134" s="2">
        <v>2018</v>
      </c>
      <c r="C134" t="str">
        <f t="shared" si="3"/>
        <v>Ontario-2018</v>
      </c>
      <c r="D134">
        <f>VLOOKUP(C134,mortality_collapsed!$C:$D,2,0)</f>
        <v>61104</v>
      </c>
      <c r="E134">
        <v>236</v>
      </c>
      <c r="F134">
        <v>16743011</v>
      </c>
      <c r="G134" s="2">
        <v>42900</v>
      </c>
      <c r="H134" s="2">
        <v>2416265</v>
      </c>
      <c r="I134" s="3">
        <v>3716</v>
      </c>
      <c r="J134">
        <v>57.393913779999998</v>
      </c>
    </row>
    <row r="135" ht="14.25">
      <c r="A135" s="4" t="s">
        <v>15</v>
      </c>
      <c r="B135" s="2">
        <v>2019</v>
      </c>
      <c r="C135" t="str">
        <f t="shared" si="3"/>
        <v>Ontario-2019</v>
      </c>
      <c r="D135">
        <f>VLOOKUP(C135,mortality_collapsed!$C:$D,2,0)</f>
        <v>60134</v>
      </c>
      <c r="E135">
        <v>234</v>
      </c>
      <c r="F135">
        <v>17075916</v>
      </c>
      <c r="G135" s="2">
        <v>43300</v>
      </c>
      <c r="H135" s="2">
        <v>2502351</v>
      </c>
      <c r="I135" s="3">
        <v>3705</v>
      </c>
      <c r="J135">
        <v>58.80154168</v>
      </c>
    </row>
    <row r="136" ht="14.25">
      <c r="A136" s="4" t="s">
        <v>15</v>
      </c>
      <c r="B136" s="2">
        <v>2020</v>
      </c>
      <c r="C136" t="str">
        <f t="shared" si="3"/>
        <v>Ontario-2020</v>
      </c>
      <c r="D136">
        <f>VLOOKUP(C136,mortality_collapsed!$C:$D,2,0)</f>
        <v>62180</v>
      </c>
      <c r="E136">
        <v>229</v>
      </c>
      <c r="F136">
        <v>17349324</v>
      </c>
      <c r="G136" s="2">
        <v>44800</v>
      </c>
      <c r="H136" s="2">
        <v>2587513</v>
      </c>
      <c r="I136" s="3">
        <v>3999</v>
      </c>
      <c r="J136">
        <v>59.115182990000001</v>
      </c>
    </row>
    <row r="137" ht="14.25">
      <c r="A137" s="4" t="s">
        <v>15</v>
      </c>
      <c r="B137" s="2">
        <v>2021</v>
      </c>
      <c r="C137" t="str">
        <f t="shared" si="3"/>
        <v>Ontario-2021</v>
      </c>
      <c r="D137">
        <f>VLOOKUP(C137,mortality_collapsed!$C:$D,2,0)</f>
        <v>59742</v>
      </c>
      <c r="E137">
        <v>235</v>
      </c>
      <c r="F137">
        <v>17513825</v>
      </c>
      <c r="G137" s="2">
        <v>45900</v>
      </c>
      <c r="H137" s="2">
        <v>2671337</v>
      </c>
      <c r="I137" s="3">
        <v>4187</v>
      </c>
      <c r="J137">
        <v>60.47228424</v>
      </c>
    </row>
    <row r="138" ht="14.25">
      <c r="A138" s="4" t="s">
        <v>15</v>
      </c>
      <c r="B138" s="2">
        <v>2022</v>
      </c>
      <c r="C138" t="str">
        <f t="shared" si="3"/>
        <v>Ontario-2022</v>
      </c>
      <c r="D138">
        <f>VLOOKUP(C138,mortality_collapsed!$C:$D,2,0)</f>
        <v>64568</v>
      </c>
      <c r="E138">
        <v>233</v>
      </c>
      <c r="F138">
        <v>17919271</v>
      </c>
      <c r="G138" s="2">
        <v>44400</v>
      </c>
      <c r="H138" s="2">
        <v>2763435</v>
      </c>
      <c r="I138" s="3">
        <v>4112</v>
      </c>
      <c r="J138">
        <v>62.035740429999997</v>
      </c>
    </row>
    <row r="139" ht="14.25">
      <c r="A139" s="4" t="s">
        <v>15</v>
      </c>
      <c r="B139" s="2">
        <v>2023</v>
      </c>
      <c r="C139" t="str">
        <f t="shared" si="3"/>
        <v>Ontario-2023</v>
      </c>
      <c r="D139">
        <f>VLOOKUP(C139,mortality_collapsed!$C:$D,2,0)</f>
        <v>62896</v>
      </c>
      <c r="E139">
        <v>225</v>
      </c>
      <c r="F139">
        <v>18492117</v>
      </c>
      <c r="G139" s="2">
        <v>45400</v>
      </c>
      <c r="H139" s="2">
        <v>2859636</v>
      </c>
      <c r="I139" s="3">
        <v>4122</v>
      </c>
      <c r="J139">
        <v>62.776157050000002</v>
      </c>
    </row>
    <row r="140" ht="14.25">
      <c r="A140" t="s">
        <v>16</v>
      </c>
      <c r="B140" s="2">
        <v>2001</v>
      </c>
      <c r="C140" t="str">
        <f t="shared" si="3"/>
        <v>Manitoba-2001</v>
      </c>
      <c r="D140">
        <f>VLOOKUP(C140,mortality_collapsed!$C:$D,2,0)</f>
        <v>7130</v>
      </c>
      <c r="E140">
        <v>182</v>
      </c>
      <c r="F140">
        <v>1308582</v>
      </c>
      <c r="G140" s="2">
        <v>34200</v>
      </c>
      <c r="H140" s="2">
        <v>157131</v>
      </c>
      <c r="I140" s="3">
        <v>3237</v>
      </c>
      <c r="J140">
        <v>39.847953220000001</v>
      </c>
    </row>
    <row r="141" ht="14.25">
      <c r="A141" t="s">
        <v>16</v>
      </c>
      <c r="B141" s="2">
        <v>2002</v>
      </c>
      <c r="C141" t="str">
        <f t="shared" si="3"/>
        <v>Manitoba-2002</v>
      </c>
      <c r="D141">
        <f>VLOOKUP(C141,mortality_collapsed!$C:$D,2,0)</f>
        <v>7498</v>
      </c>
      <c r="E141">
        <v>180</v>
      </c>
      <c r="F141">
        <v>1314228</v>
      </c>
      <c r="G141" s="2">
        <v>34700</v>
      </c>
      <c r="H141" s="2">
        <v>157555</v>
      </c>
      <c r="I141" s="3">
        <v>3320</v>
      </c>
      <c r="J141">
        <v>39.983741729999998</v>
      </c>
    </row>
    <row r="142" ht="14.25">
      <c r="A142" t="s">
        <v>16</v>
      </c>
      <c r="B142" s="2">
        <v>2003</v>
      </c>
      <c r="C142" t="str">
        <f t="shared" si="3"/>
        <v>Manitoba-2003</v>
      </c>
      <c r="D142">
        <f>VLOOKUP(C142,mortality_collapsed!$C:$D,2,0)</f>
        <v>7396</v>
      </c>
      <c r="E142">
        <v>177</v>
      </c>
      <c r="F142">
        <v>1321938</v>
      </c>
      <c r="G142" s="2">
        <v>34300</v>
      </c>
      <c r="H142" s="2">
        <v>158353</v>
      </c>
      <c r="I142" s="3">
        <v>3525</v>
      </c>
      <c r="J142">
        <v>40.739035340000001</v>
      </c>
    </row>
    <row r="143" ht="14.25">
      <c r="A143" t="s">
        <v>16</v>
      </c>
      <c r="B143" s="2">
        <v>2004</v>
      </c>
      <c r="C143" t="str">
        <f t="shared" si="3"/>
        <v>Manitoba-2004</v>
      </c>
      <c r="D143">
        <f>VLOOKUP(C143,mortality_collapsed!$C:$D,2,0)</f>
        <v>7570</v>
      </c>
      <c r="E143">
        <v>177</v>
      </c>
      <c r="F143">
        <v>1332276</v>
      </c>
      <c r="G143" s="2">
        <v>34600</v>
      </c>
      <c r="H143" s="2">
        <v>159048</v>
      </c>
      <c r="I143" s="3">
        <v>3630</v>
      </c>
      <c r="J143">
        <v>40.810749260000001</v>
      </c>
    </row>
    <row r="144" ht="14.25">
      <c r="A144" t="s">
        <v>16</v>
      </c>
      <c r="B144" s="2">
        <v>2005</v>
      </c>
      <c r="C144" t="str">
        <f t="shared" si="3"/>
        <v>Manitoba-2005</v>
      </c>
      <c r="D144">
        <f>VLOOKUP(C144,mortality_collapsed!$C:$D,2,0)</f>
        <v>7182</v>
      </c>
      <c r="E144">
        <v>179</v>
      </c>
      <c r="F144">
        <v>1338123</v>
      </c>
      <c r="G144" s="2">
        <v>35500</v>
      </c>
      <c r="H144" s="2">
        <v>159861</v>
      </c>
      <c r="I144" s="3">
        <v>3717</v>
      </c>
      <c r="J144">
        <v>41.470854039999999</v>
      </c>
    </row>
    <row r="145" ht="14.25">
      <c r="A145" t="s">
        <v>16</v>
      </c>
      <c r="B145" s="2">
        <v>2006</v>
      </c>
      <c r="C145" t="str">
        <f t="shared" si="3"/>
        <v>Manitoba-2006</v>
      </c>
      <c r="D145">
        <f>VLOOKUP(C145,mortality_collapsed!$C:$D,2,0)</f>
        <v>7004</v>
      </c>
      <c r="E145">
        <v>180</v>
      </c>
      <c r="F145">
        <v>1345375</v>
      </c>
      <c r="G145" s="2">
        <v>35700</v>
      </c>
      <c r="H145" s="2">
        <v>161815</v>
      </c>
      <c r="I145" s="3">
        <v>3778</v>
      </c>
      <c r="J145">
        <v>41.652651640000002</v>
      </c>
    </row>
    <row r="146" ht="14.25">
      <c r="A146" t="s">
        <v>16</v>
      </c>
      <c r="B146" s="2">
        <v>2007</v>
      </c>
      <c r="C146" t="str">
        <f t="shared" si="3"/>
        <v>Manitoba-2007</v>
      </c>
      <c r="D146">
        <f>VLOOKUP(C146,mortality_collapsed!$C:$D,2,0)</f>
        <v>6958</v>
      </c>
      <c r="E146">
        <v>178</v>
      </c>
      <c r="F146">
        <v>1352414</v>
      </c>
      <c r="G146" s="2">
        <v>37100</v>
      </c>
      <c r="H146" s="2">
        <v>162968</v>
      </c>
      <c r="I146" s="3">
        <v>3841</v>
      </c>
      <c r="J146">
        <v>41.408074740000004</v>
      </c>
    </row>
    <row r="147" ht="14.25">
      <c r="A147" t="s">
        <v>16</v>
      </c>
      <c r="B147" s="2">
        <v>2008</v>
      </c>
      <c r="C147" t="str">
        <f t="shared" si="3"/>
        <v>Manitoba-2008</v>
      </c>
      <c r="D147">
        <f>VLOOKUP(C147,mortality_collapsed!$C:$D,2,0)</f>
        <v>6984</v>
      </c>
      <c r="E147">
        <v>185</v>
      </c>
      <c r="F147">
        <v>1362801</v>
      </c>
      <c r="G147" s="2">
        <v>38600</v>
      </c>
      <c r="H147" s="2">
        <v>165034</v>
      </c>
      <c r="I147" s="3">
        <v>3915</v>
      </c>
      <c r="J147">
        <v>43.203615919999997</v>
      </c>
    </row>
    <row r="148" ht="14.25">
      <c r="A148" t="s">
        <v>16</v>
      </c>
      <c r="B148" s="2">
        <v>2009</v>
      </c>
      <c r="C148" t="str">
        <f t="shared" si="3"/>
        <v>Manitoba-2009</v>
      </c>
      <c r="D148">
        <f>VLOOKUP(C148,mortality_collapsed!$C:$D,2,0)</f>
        <v>6736</v>
      </c>
      <c r="E148">
        <v>185</v>
      </c>
      <c r="F148">
        <v>1375789</v>
      </c>
      <c r="G148" s="2">
        <v>39300</v>
      </c>
      <c r="H148" s="2">
        <v>167234</v>
      </c>
      <c r="I148" s="3">
        <v>4041</v>
      </c>
      <c r="J148">
        <v>43.910151560000003</v>
      </c>
    </row>
    <row r="149" ht="14.25">
      <c r="A149" t="s">
        <v>16</v>
      </c>
      <c r="B149" s="2">
        <v>2010</v>
      </c>
      <c r="C149" t="str">
        <f t="shared" si="3"/>
        <v>Manitoba-2010</v>
      </c>
      <c r="D149">
        <f>VLOOKUP(C149,mortality_collapsed!$C:$D,2,0)</f>
        <v>6562</v>
      </c>
      <c r="E149">
        <v>189</v>
      </c>
      <c r="F149">
        <v>1390328</v>
      </c>
      <c r="G149" s="2">
        <v>38300</v>
      </c>
      <c r="H149" s="2">
        <v>169546</v>
      </c>
      <c r="I149" s="3">
        <v>4119</v>
      </c>
      <c r="J149">
        <v>44.996229669999998</v>
      </c>
    </row>
    <row r="150" ht="14.25">
      <c r="A150" t="s">
        <v>16</v>
      </c>
      <c r="B150" s="2">
        <v>2011</v>
      </c>
      <c r="C150" t="str">
        <f t="shared" si="3"/>
        <v>Manitoba-2011</v>
      </c>
      <c r="D150">
        <f>VLOOKUP(C150,mortality_collapsed!$C:$D,2,0)</f>
        <v>6574</v>
      </c>
      <c r="E150">
        <v>202</v>
      </c>
      <c r="F150">
        <v>1405719</v>
      </c>
      <c r="G150" s="2">
        <v>39900</v>
      </c>
      <c r="H150" s="2">
        <v>172366</v>
      </c>
      <c r="I150" s="3">
        <v>4141</v>
      </c>
      <c r="J150">
        <v>45.071322119999998</v>
      </c>
    </row>
    <row r="151" ht="14.25">
      <c r="A151" t="s">
        <v>16</v>
      </c>
      <c r="B151" s="2">
        <v>2012</v>
      </c>
      <c r="C151" t="str">
        <f t="shared" si="3"/>
        <v>Manitoba-2012</v>
      </c>
      <c r="D151">
        <f>VLOOKUP(C151,mortality_collapsed!$C:$D,2,0)</f>
        <v>6386</v>
      </c>
      <c r="E151">
        <v>197</v>
      </c>
      <c r="F151">
        <v>1426645</v>
      </c>
      <c r="G151" s="2">
        <v>39300</v>
      </c>
      <c r="H151" s="2">
        <v>177551</v>
      </c>
      <c r="I151" s="3">
        <v>4271</v>
      </c>
      <c r="J151">
        <v>46.514069720000002</v>
      </c>
    </row>
    <row r="152" ht="14.25">
      <c r="A152" t="s">
        <v>16</v>
      </c>
      <c r="B152" s="2">
        <v>2013</v>
      </c>
      <c r="C152" t="str">
        <f t="shared" si="3"/>
        <v>Manitoba-2013</v>
      </c>
      <c r="D152">
        <f>VLOOKUP(C152,mortality_collapsed!$C:$D,2,0)</f>
        <v>6450</v>
      </c>
      <c r="E152">
        <v>205</v>
      </c>
      <c r="F152">
        <v>1446128</v>
      </c>
      <c r="G152" s="2">
        <v>41800</v>
      </c>
      <c r="H152" s="2">
        <v>182735</v>
      </c>
      <c r="I152" s="3">
        <v>4225</v>
      </c>
      <c r="J152">
        <v>46.129902469999998</v>
      </c>
    </row>
    <row r="153" ht="14.25">
      <c r="A153" t="s">
        <v>16</v>
      </c>
      <c r="B153" s="2">
        <v>2014</v>
      </c>
      <c r="C153" t="str">
        <f t="shared" si="3"/>
        <v>Manitoba-2014</v>
      </c>
      <c r="D153">
        <f>VLOOKUP(C153,mortality_collapsed!$C:$D,2,0)</f>
        <v>6746</v>
      </c>
      <c r="E153">
        <v>203</v>
      </c>
      <c r="F153">
        <v>1464581</v>
      </c>
      <c r="G153" s="2">
        <v>41900</v>
      </c>
      <c r="H153" s="2">
        <v>187156</v>
      </c>
      <c r="I153" s="3">
        <v>4096</v>
      </c>
      <c r="J153">
        <v>47.28037767</v>
      </c>
    </row>
    <row r="154" ht="14.25">
      <c r="A154" t="s">
        <v>16</v>
      </c>
      <c r="B154" s="2">
        <v>2015</v>
      </c>
      <c r="C154" t="str">
        <f t="shared" si="3"/>
        <v>Manitoba-2015</v>
      </c>
      <c r="D154">
        <f>VLOOKUP(C154,mortality_collapsed!$C:$D,2,0)</f>
        <v>6522</v>
      </c>
      <c r="E154">
        <v>206</v>
      </c>
      <c r="F154">
        <v>1485064</v>
      </c>
      <c r="G154" s="2">
        <v>42400</v>
      </c>
      <c r="H154" s="2">
        <v>191466</v>
      </c>
      <c r="I154" s="3">
        <v>4169</v>
      </c>
      <c r="J154">
        <v>49.182159910000003</v>
      </c>
    </row>
    <row r="155" ht="14.25">
      <c r="A155" t="s">
        <v>16</v>
      </c>
      <c r="B155" s="2">
        <v>2016</v>
      </c>
      <c r="C155" t="str">
        <f t="shared" si="3"/>
        <v>Manitoba-2016</v>
      </c>
      <c r="D155">
        <f>VLOOKUP(C155,mortality_collapsed!$C:$D,2,0)</f>
        <v>6350</v>
      </c>
      <c r="E155">
        <v>209</v>
      </c>
      <c r="F155">
        <v>1510644</v>
      </c>
      <c r="G155" s="2">
        <v>42000</v>
      </c>
      <c r="H155" s="2">
        <v>196504</v>
      </c>
      <c r="I155" s="3">
        <v>4137</v>
      </c>
      <c r="J155">
        <v>49.544316469999998</v>
      </c>
    </row>
    <row r="156" ht="14.25">
      <c r="A156" t="s">
        <v>16</v>
      </c>
      <c r="B156" s="2">
        <v>2017</v>
      </c>
      <c r="C156" t="str">
        <f t="shared" si="3"/>
        <v>Manitoba-2017</v>
      </c>
      <c r="D156">
        <f>VLOOKUP(C156,mortality_collapsed!$C:$D,2,0)</f>
        <v>6676</v>
      </c>
      <c r="E156">
        <v>212</v>
      </c>
      <c r="F156">
        <v>1536840</v>
      </c>
      <c r="G156" s="2">
        <v>42900</v>
      </c>
      <c r="H156" s="2">
        <v>202106</v>
      </c>
      <c r="I156" s="3">
        <v>4070</v>
      </c>
      <c r="J156">
        <v>50.12815457</v>
      </c>
    </row>
    <row r="157" ht="14.25">
      <c r="A157" t="s">
        <v>16</v>
      </c>
      <c r="B157" s="2">
        <v>2018</v>
      </c>
      <c r="C157" t="str">
        <f t="shared" si="3"/>
        <v>Manitoba-2018</v>
      </c>
      <c r="D157">
        <f>VLOOKUP(C157,mortality_collapsed!$C:$D,2,0)</f>
        <v>5752</v>
      </c>
      <c r="E157">
        <v>216</v>
      </c>
      <c r="F157">
        <v>1560777</v>
      </c>
      <c r="G157" s="2">
        <v>41900</v>
      </c>
      <c r="H157" s="2">
        <v>208090</v>
      </c>
      <c r="I157" s="3">
        <v>4018</v>
      </c>
      <c r="J157">
        <v>50.665888989999999</v>
      </c>
    </row>
    <row r="158" ht="14.25">
      <c r="A158" t="s">
        <v>16</v>
      </c>
      <c r="B158" s="2">
        <v>2019</v>
      </c>
      <c r="C158" t="str">
        <f t="shared" si="3"/>
        <v>Manitoba-2019</v>
      </c>
      <c r="D158">
        <f>VLOOKUP(C158,mortality_collapsed!$C:$D,2,0)</f>
        <v>6388</v>
      </c>
      <c r="E158">
        <v>217</v>
      </c>
      <c r="F158">
        <v>1585311</v>
      </c>
      <c r="G158" s="2">
        <v>42600</v>
      </c>
      <c r="H158" s="2">
        <v>215278</v>
      </c>
      <c r="I158" s="3">
        <v>3995</v>
      </c>
      <c r="J158">
        <v>51.482298759999999</v>
      </c>
    </row>
    <row r="159" ht="14.25">
      <c r="A159" t="s">
        <v>16</v>
      </c>
      <c r="B159" s="2">
        <v>2020</v>
      </c>
      <c r="C159" t="str">
        <f t="shared" si="3"/>
        <v>Manitoba-2020</v>
      </c>
      <c r="D159">
        <f>VLOOKUP(C159,mortality_collapsed!$C:$D,2,0)</f>
        <v>5922</v>
      </c>
      <c r="E159">
        <v>216</v>
      </c>
      <c r="F159">
        <v>1602648</v>
      </c>
      <c r="G159" s="2">
        <v>44300</v>
      </c>
      <c r="H159" s="2">
        <v>222516</v>
      </c>
      <c r="I159" s="3">
        <v>4145</v>
      </c>
      <c r="J159">
        <v>52.477691290000003</v>
      </c>
    </row>
    <row r="160" ht="14.25">
      <c r="A160" t="s">
        <v>16</v>
      </c>
      <c r="B160" s="2">
        <v>2021</v>
      </c>
      <c r="C160" t="str">
        <f t="shared" si="3"/>
        <v>Manitoba-2021</v>
      </c>
      <c r="D160">
        <f>VLOOKUP(C160,mortality_collapsed!$C:$D,2,0)</f>
        <v>5670</v>
      </c>
      <c r="E160">
        <v>215</v>
      </c>
      <c r="F160">
        <v>1621298</v>
      </c>
      <c r="G160" s="2">
        <v>44300</v>
      </c>
      <c r="H160" s="2">
        <v>229374</v>
      </c>
      <c r="I160" s="3">
        <v>4150</v>
      </c>
      <c r="J160">
        <v>54.727631950000003</v>
      </c>
    </row>
    <row r="161" ht="14.25">
      <c r="A161" t="s">
        <v>16</v>
      </c>
      <c r="B161" s="2">
        <v>2022</v>
      </c>
      <c r="C161" t="str">
        <f t="shared" si="3"/>
        <v>Manitoba-2022</v>
      </c>
      <c r="D161">
        <f>VLOOKUP(C161,mortality_collapsed!$C:$D,2,0)</f>
        <v>5878</v>
      </c>
      <c r="E161">
        <v>215</v>
      </c>
      <c r="F161">
        <v>1649631</v>
      </c>
      <c r="G161" s="2">
        <v>42700</v>
      </c>
      <c r="H161" s="2">
        <v>236133</v>
      </c>
      <c r="I161" s="3">
        <v>4145</v>
      </c>
      <c r="J161">
        <v>54.988420570000002</v>
      </c>
    </row>
    <row r="162" ht="14.25">
      <c r="A162" t="s">
        <v>16</v>
      </c>
      <c r="B162" s="2">
        <v>2023</v>
      </c>
      <c r="C162" t="str">
        <f t="shared" si="3"/>
        <v>Manitoba-2023</v>
      </c>
      <c r="D162">
        <f>VLOOKUP(C162,mortality_collapsed!$C:$D,2,0)</f>
        <v>6032</v>
      </c>
      <c r="E162">
        <v>219</v>
      </c>
      <c r="F162">
        <v>1696926</v>
      </c>
      <c r="G162" s="2">
        <v>44000</v>
      </c>
      <c r="H162" s="2">
        <v>243724</v>
      </c>
      <c r="I162" s="3">
        <v>4409</v>
      </c>
      <c r="J162">
        <v>55.3529518</v>
      </c>
    </row>
    <row r="163" ht="14.25">
      <c r="A163" t="s">
        <v>17</v>
      </c>
      <c r="B163" s="2">
        <v>2001</v>
      </c>
      <c r="C163" t="str">
        <f t="shared" si="3"/>
        <v>Saskatchewan-2001</v>
      </c>
      <c r="D163">
        <f>VLOOKUP(C163,mortality_collapsed!$C:$D,2,0)</f>
        <v>6466</v>
      </c>
      <c r="E163">
        <v>155</v>
      </c>
      <c r="F163">
        <v>1148245</v>
      </c>
      <c r="G163" s="2">
        <v>34500</v>
      </c>
      <c r="H163" s="2">
        <v>147938</v>
      </c>
      <c r="I163" s="3">
        <v>3096</v>
      </c>
      <c r="J163">
        <v>38.71663521</v>
      </c>
    </row>
    <row r="164" ht="14.25">
      <c r="A164" t="s">
        <v>17</v>
      </c>
      <c r="B164" s="2">
        <v>2002</v>
      </c>
      <c r="C164" t="str">
        <f t="shared" ref="C164:C227" si="4">A164&amp;"-"&amp;B164</f>
        <v>Saskatchewan-2002</v>
      </c>
      <c r="D164">
        <f>VLOOKUP(C164,mortality_collapsed!$C:$D,2,0)</f>
        <v>6506</v>
      </c>
      <c r="E164">
        <v>157</v>
      </c>
      <c r="F164">
        <v>1144784</v>
      </c>
      <c r="G164" s="2">
        <v>34000</v>
      </c>
      <c r="H164" s="2">
        <v>147930</v>
      </c>
      <c r="I164" s="3">
        <v>3162</v>
      </c>
      <c r="J164">
        <v>39.379635870000001</v>
      </c>
    </row>
    <row r="165" ht="14.25">
      <c r="A165" t="s">
        <v>17</v>
      </c>
      <c r="B165" s="2">
        <v>2003</v>
      </c>
      <c r="C165" t="str">
        <f t="shared" si="4"/>
        <v>Saskatchewan-2003</v>
      </c>
      <c r="D165">
        <f>VLOOKUP(C165,mortality_collapsed!$C:$D,2,0)</f>
        <v>6594</v>
      </c>
      <c r="E165">
        <v>153</v>
      </c>
      <c r="F165">
        <v>1144430</v>
      </c>
      <c r="G165" s="2">
        <v>34200</v>
      </c>
      <c r="H165" s="2">
        <v>148008</v>
      </c>
      <c r="I165" s="3">
        <v>3250</v>
      </c>
      <c r="J165">
        <v>41.950235370000001</v>
      </c>
    </row>
    <row r="166" ht="14.25">
      <c r="A166" t="s">
        <v>17</v>
      </c>
      <c r="B166" s="2">
        <v>2004</v>
      </c>
      <c r="C166" t="str">
        <f t="shared" si="4"/>
        <v>Saskatchewan-2004</v>
      </c>
      <c r="D166">
        <f>VLOOKUP(C166,mortality_collapsed!$C:$D,2,0)</f>
        <v>6370</v>
      </c>
      <c r="E166">
        <v>153</v>
      </c>
      <c r="F166">
        <v>1145294</v>
      </c>
      <c r="G166" s="2">
        <v>33900</v>
      </c>
      <c r="H166" s="2">
        <v>147989</v>
      </c>
      <c r="I166" s="3">
        <v>3401</v>
      </c>
      <c r="J166">
        <v>41.378848730000001</v>
      </c>
    </row>
    <row r="167" ht="14.25">
      <c r="A167" t="s">
        <v>17</v>
      </c>
      <c r="B167" s="2">
        <v>2005</v>
      </c>
      <c r="C167" t="str">
        <f t="shared" si="4"/>
        <v>Saskatchewan-2005</v>
      </c>
      <c r="D167">
        <f>VLOOKUP(C167,mortality_collapsed!$C:$D,2,0)</f>
        <v>6232</v>
      </c>
      <c r="E167">
        <v>156</v>
      </c>
      <c r="F167">
        <v>1141685</v>
      </c>
      <c r="G167" s="2">
        <v>34100</v>
      </c>
      <c r="H167" s="2">
        <v>148175</v>
      </c>
      <c r="I167" s="3">
        <v>3614</v>
      </c>
      <c r="J167">
        <v>41.963091740000003</v>
      </c>
    </row>
    <row r="168" ht="14.25">
      <c r="A168" t="s">
        <v>17</v>
      </c>
      <c r="B168" s="2">
        <v>2006</v>
      </c>
      <c r="C168" t="str">
        <f t="shared" si="4"/>
        <v>Saskatchewan-2006</v>
      </c>
      <c r="D168">
        <f>VLOOKUP(C168,mortality_collapsed!$C:$D,2,0)</f>
        <v>6380</v>
      </c>
      <c r="E168">
        <v>158</v>
      </c>
      <c r="F168">
        <v>1141287</v>
      </c>
      <c r="G168" s="2">
        <v>36300</v>
      </c>
      <c r="H168" s="2">
        <v>148974</v>
      </c>
      <c r="I168" s="3">
        <v>3756</v>
      </c>
      <c r="J168">
        <v>42.325643419999999</v>
      </c>
    </row>
    <row r="169" ht="14.25">
      <c r="A169" t="s">
        <v>17</v>
      </c>
      <c r="B169" s="2">
        <v>2007</v>
      </c>
      <c r="C169" t="str">
        <f t="shared" si="4"/>
        <v>Saskatchewan-2007</v>
      </c>
      <c r="D169">
        <f>VLOOKUP(C169,mortality_collapsed!$C:$D,2,0)</f>
        <v>6240</v>
      </c>
      <c r="E169">
        <v>164</v>
      </c>
      <c r="F169">
        <v>1151675</v>
      </c>
      <c r="G169" s="2">
        <v>37500</v>
      </c>
      <c r="H169" s="2">
        <v>149601</v>
      </c>
      <c r="I169" s="3">
        <v>3823</v>
      </c>
      <c r="J169">
        <v>43.000131699999997</v>
      </c>
    </row>
    <row r="170" ht="14.25">
      <c r="A170" t="s">
        <v>17</v>
      </c>
      <c r="B170" s="2">
        <v>2008</v>
      </c>
      <c r="C170" t="str">
        <f t="shared" si="4"/>
        <v>Saskatchewan-2008</v>
      </c>
      <c r="D170">
        <f>VLOOKUP(C170,mortality_collapsed!$C:$D,2,0)</f>
        <v>6046</v>
      </c>
      <c r="E170">
        <v>163</v>
      </c>
      <c r="F170">
        <v>1167749</v>
      </c>
      <c r="G170" s="2">
        <v>41200</v>
      </c>
      <c r="H170" s="2">
        <v>150381</v>
      </c>
      <c r="I170" s="3">
        <v>3887</v>
      </c>
      <c r="J170">
        <v>43.280683580000002</v>
      </c>
    </row>
    <row r="171" ht="14.25">
      <c r="A171" t="s">
        <v>17</v>
      </c>
      <c r="B171" s="2">
        <v>2009</v>
      </c>
      <c r="C171" t="str">
        <f t="shared" si="4"/>
        <v>Saskatchewan-2009</v>
      </c>
      <c r="D171">
        <f>VLOOKUP(C171,mortality_collapsed!$C:$D,2,0)</f>
        <v>5746</v>
      </c>
      <c r="E171">
        <v>165</v>
      </c>
      <c r="F171">
        <v>1186049</v>
      </c>
      <c r="G171" s="2">
        <v>41900</v>
      </c>
      <c r="H171" s="2">
        <v>151258</v>
      </c>
      <c r="I171" s="3">
        <v>3942</v>
      </c>
      <c r="J171">
        <v>43.981187239999997</v>
      </c>
    </row>
    <row r="172" ht="14.25">
      <c r="A172" t="s">
        <v>17</v>
      </c>
      <c r="B172" s="2">
        <v>2010</v>
      </c>
      <c r="C172" t="str">
        <f t="shared" si="4"/>
        <v>Saskatchewan-2010</v>
      </c>
      <c r="D172">
        <f>VLOOKUP(C172,mortality_collapsed!$C:$D,2,0)</f>
        <v>5708</v>
      </c>
      <c r="E172">
        <v>169</v>
      </c>
      <c r="F172">
        <v>1203764</v>
      </c>
      <c r="G172" s="2">
        <v>42000</v>
      </c>
      <c r="H172" s="2">
        <v>152338</v>
      </c>
      <c r="I172" s="3">
        <v>4065</v>
      </c>
      <c r="J172">
        <v>45.335331580000002</v>
      </c>
    </row>
    <row r="173" ht="14.25">
      <c r="A173" t="s">
        <v>17</v>
      </c>
      <c r="B173" s="2">
        <v>2011</v>
      </c>
      <c r="C173" t="str">
        <f t="shared" si="4"/>
        <v>Saskatchewan-2011</v>
      </c>
      <c r="D173">
        <f>VLOOKUP(C173,mortality_collapsed!$C:$D,2,0)</f>
        <v>5824</v>
      </c>
      <c r="E173">
        <v>181</v>
      </c>
      <c r="F173">
        <v>1219517</v>
      </c>
      <c r="G173" s="2">
        <v>43600</v>
      </c>
      <c r="H173" s="2">
        <v>153856</v>
      </c>
      <c r="I173" s="3">
        <v>4014</v>
      </c>
      <c r="J173">
        <v>45.921004060000001</v>
      </c>
    </row>
    <row r="174" ht="14.25">
      <c r="A174" t="s">
        <v>17</v>
      </c>
      <c r="B174" s="2">
        <v>2012</v>
      </c>
      <c r="C174" t="str">
        <f t="shared" si="4"/>
        <v>Saskatchewan-2012</v>
      </c>
      <c r="D174">
        <f>VLOOKUP(C174,mortality_collapsed!$C:$D,2,0)</f>
        <v>5626</v>
      </c>
      <c r="E174">
        <v>181</v>
      </c>
      <c r="F174">
        <v>1240092</v>
      </c>
      <c r="G174" s="2">
        <v>44500</v>
      </c>
      <c r="H174" s="2">
        <v>157087</v>
      </c>
      <c r="I174" s="3">
        <v>4088</v>
      </c>
      <c r="J174">
        <v>46.805421099999997</v>
      </c>
    </row>
    <row r="175" ht="14.25">
      <c r="A175" t="s">
        <v>17</v>
      </c>
      <c r="B175" s="2">
        <v>2013</v>
      </c>
      <c r="C175" t="str">
        <f t="shared" si="4"/>
        <v>Saskatchewan-2013</v>
      </c>
      <c r="D175">
        <f>VLOOKUP(C175,mortality_collapsed!$C:$D,2,0)</f>
        <v>5854</v>
      </c>
      <c r="E175">
        <v>187</v>
      </c>
      <c r="F175">
        <v>1258841</v>
      </c>
      <c r="G175" s="2">
        <v>45200</v>
      </c>
      <c r="H175" s="2">
        <v>159973</v>
      </c>
      <c r="I175" s="3">
        <v>4142</v>
      </c>
      <c r="J175">
        <v>47.674695919999998</v>
      </c>
    </row>
    <row r="176" ht="14.25">
      <c r="A176" t="s">
        <v>17</v>
      </c>
      <c r="B176" s="2">
        <v>2014</v>
      </c>
      <c r="C176" t="str">
        <f t="shared" si="4"/>
        <v>Saskatchewan-2014</v>
      </c>
      <c r="D176">
        <f>VLOOKUP(C176,mortality_collapsed!$C:$D,2,0)</f>
        <v>5792</v>
      </c>
      <c r="E176">
        <v>193</v>
      </c>
      <c r="F176">
        <v>1274659</v>
      </c>
      <c r="G176" s="2">
        <v>47000</v>
      </c>
      <c r="H176" s="2">
        <v>162670</v>
      </c>
      <c r="I176" s="3">
        <v>4102</v>
      </c>
      <c r="J176">
        <v>48.649604910000001</v>
      </c>
    </row>
    <row r="177" ht="14.25">
      <c r="A177" t="s">
        <v>17</v>
      </c>
      <c r="B177" s="2">
        <v>2015</v>
      </c>
      <c r="C177" t="str">
        <f t="shared" si="4"/>
        <v>Saskatchewan-2015</v>
      </c>
      <c r="D177">
        <f>VLOOKUP(C177,mortality_collapsed!$C:$D,2,0)</f>
        <v>5754</v>
      </c>
      <c r="E177">
        <v>200</v>
      </c>
      <c r="F177">
        <v>1288005</v>
      </c>
      <c r="G177" s="2">
        <v>47300</v>
      </c>
      <c r="H177" s="2">
        <v>165795</v>
      </c>
      <c r="I177" s="3">
        <v>4081</v>
      </c>
      <c r="J177">
        <v>49.073856980000002</v>
      </c>
    </row>
    <row r="178" ht="14.25">
      <c r="A178" t="s">
        <v>17</v>
      </c>
      <c r="B178" s="2">
        <v>2016</v>
      </c>
      <c r="C178" t="str">
        <f t="shared" si="4"/>
        <v>Saskatchewan-2016</v>
      </c>
      <c r="D178">
        <f>VLOOKUP(C178,mortality_collapsed!$C:$D,2,0)</f>
        <v>5526</v>
      </c>
      <c r="E178">
        <v>201</v>
      </c>
      <c r="F178">
        <v>1304904</v>
      </c>
      <c r="G178" s="2">
        <v>46200</v>
      </c>
      <c r="H178" s="2">
        <v>169408</v>
      </c>
      <c r="I178" s="3">
        <v>4138</v>
      </c>
      <c r="J178">
        <v>50.674105070000003</v>
      </c>
    </row>
    <row r="179" ht="14.25">
      <c r="A179" t="s">
        <v>17</v>
      </c>
      <c r="B179" s="2">
        <v>2017</v>
      </c>
      <c r="C179" t="str">
        <f t="shared" si="4"/>
        <v>Saskatchewan-2017</v>
      </c>
      <c r="D179">
        <f>VLOOKUP(C179,mortality_collapsed!$C:$D,2,0)</f>
        <v>5552</v>
      </c>
      <c r="E179">
        <v>205</v>
      </c>
      <c r="F179">
        <v>1321255</v>
      </c>
      <c r="G179" s="2">
        <v>45900</v>
      </c>
      <c r="H179" s="2">
        <v>173940</v>
      </c>
      <c r="I179" s="3">
        <v>4114</v>
      </c>
      <c r="J179">
        <v>50.736987560000003</v>
      </c>
    </row>
    <row r="180" ht="14.25">
      <c r="A180" t="s">
        <v>17</v>
      </c>
      <c r="B180" s="2">
        <v>2018</v>
      </c>
      <c r="C180" t="str">
        <f t="shared" si="4"/>
        <v>Saskatchewan-2018</v>
      </c>
      <c r="D180">
        <f>VLOOKUP(C180,mortality_collapsed!$C:$D,2,0)</f>
        <v>5634</v>
      </c>
      <c r="E180">
        <v>207</v>
      </c>
      <c r="F180">
        <v>1335249</v>
      </c>
      <c r="G180" s="2">
        <v>45200</v>
      </c>
      <c r="H180" s="2">
        <v>179039</v>
      </c>
      <c r="I180" s="3">
        <v>4061</v>
      </c>
      <c r="J180">
        <v>51.428898029999999</v>
      </c>
    </row>
    <row r="181" ht="14.25">
      <c r="A181" t="s">
        <v>17</v>
      </c>
      <c r="B181" s="2">
        <v>2019</v>
      </c>
      <c r="C181" t="str">
        <f t="shared" si="4"/>
        <v>Saskatchewan-2019</v>
      </c>
      <c r="D181">
        <f>VLOOKUP(C181,mortality_collapsed!$C:$D,2,0)</f>
        <v>5254</v>
      </c>
      <c r="E181">
        <v>213</v>
      </c>
      <c r="F181">
        <v>1349575</v>
      </c>
      <c r="G181" s="2">
        <v>45300</v>
      </c>
      <c r="H181" s="2">
        <v>185352</v>
      </c>
      <c r="I181" s="3">
        <v>4101</v>
      </c>
      <c r="J181">
        <v>52.111716620000003</v>
      </c>
    </row>
    <row r="182" ht="14.25">
      <c r="A182" t="s">
        <v>17</v>
      </c>
      <c r="B182" s="2">
        <v>2020</v>
      </c>
      <c r="C182" t="str">
        <f t="shared" si="4"/>
        <v>Saskatchewan-2020</v>
      </c>
      <c r="D182">
        <f>VLOOKUP(C182,mortality_collapsed!$C:$D,2,0)</f>
        <v>5492</v>
      </c>
      <c r="E182">
        <v>217</v>
      </c>
      <c r="F182">
        <v>1359507</v>
      </c>
      <c r="G182" s="2">
        <v>46500</v>
      </c>
      <c r="H182" s="2">
        <v>192121</v>
      </c>
      <c r="I182" s="3">
        <v>4226</v>
      </c>
      <c r="J182">
        <v>53.928773319999998</v>
      </c>
    </row>
    <row r="183" ht="14.25">
      <c r="A183" t="s">
        <v>17</v>
      </c>
      <c r="B183" s="2">
        <v>2021</v>
      </c>
      <c r="C183" t="str">
        <f t="shared" si="4"/>
        <v>Saskatchewan-2021</v>
      </c>
      <c r="D183">
        <f>VLOOKUP(C183,mortality_collapsed!$C:$D,2,0)</f>
        <v>5490</v>
      </c>
      <c r="E183">
        <v>218</v>
      </c>
      <c r="F183">
        <v>1366276</v>
      </c>
      <c r="G183" s="2">
        <v>46800</v>
      </c>
      <c r="H183" s="2">
        <v>198565</v>
      </c>
      <c r="I183" s="3">
        <v>4287</v>
      </c>
      <c r="J183">
        <v>53.897424309999998</v>
      </c>
    </row>
    <row r="184" ht="14.25">
      <c r="A184" t="s">
        <v>17</v>
      </c>
      <c r="B184" s="2">
        <v>2022</v>
      </c>
      <c r="C184" t="str">
        <f t="shared" si="4"/>
        <v>Saskatchewan-2022</v>
      </c>
      <c r="D184">
        <f>VLOOKUP(C184,mortality_collapsed!$C:$D,2,0)</f>
        <v>5470</v>
      </c>
      <c r="E184">
        <v>221</v>
      </c>
      <c r="F184">
        <v>1383443</v>
      </c>
      <c r="G184" s="2">
        <v>45600</v>
      </c>
      <c r="H184" s="2">
        <v>204647</v>
      </c>
      <c r="I184" s="3">
        <v>4222</v>
      </c>
      <c r="J184">
        <v>54.410285080000001</v>
      </c>
    </row>
    <row r="185" ht="14.25">
      <c r="A185" t="s">
        <v>17</v>
      </c>
      <c r="B185" s="2">
        <v>2023</v>
      </c>
      <c r="C185" t="str">
        <f t="shared" si="4"/>
        <v>Saskatchewan-2023</v>
      </c>
      <c r="D185">
        <f>VLOOKUP(C185,mortality_collapsed!$C:$D,2,0)</f>
        <v>5310</v>
      </c>
      <c r="E185">
        <v>221</v>
      </c>
      <c r="F185">
        <v>1421767</v>
      </c>
      <c r="G185" s="2">
        <v>45400</v>
      </c>
      <c r="H185" s="2">
        <v>211510</v>
      </c>
      <c r="I185" s="3">
        <v>4324</v>
      </c>
      <c r="J185">
        <v>54.455229580000001</v>
      </c>
    </row>
    <row r="186" ht="14.25">
      <c r="A186" t="s">
        <v>18</v>
      </c>
      <c r="B186" s="2">
        <v>2001</v>
      </c>
      <c r="C186" t="str">
        <f t="shared" si="4"/>
        <v>Alberta-2001</v>
      </c>
      <c r="D186">
        <f>VLOOKUP(C186,mortality_collapsed!$C:$D,2,0)</f>
        <v>13496</v>
      </c>
      <c r="E186">
        <v>169</v>
      </c>
      <c r="F186">
        <v>3368963</v>
      </c>
      <c r="G186" s="2">
        <v>40200</v>
      </c>
      <c r="H186" s="2">
        <v>310409</v>
      </c>
      <c r="I186" s="3">
        <v>3133</v>
      </c>
      <c r="J186">
        <v>46.019573780000002</v>
      </c>
    </row>
    <row r="187" ht="14.25">
      <c r="A187" s="4" t="s">
        <v>18</v>
      </c>
      <c r="B187" s="2">
        <v>2002</v>
      </c>
      <c r="C187" t="str">
        <f t="shared" si="4"/>
        <v>Alberta-2002</v>
      </c>
      <c r="D187">
        <f>VLOOKUP(C187,mortality_collapsed!$C:$D,2,0)</f>
        <v>13846</v>
      </c>
      <c r="E187">
        <v>180</v>
      </c>
      <c r="F187">
        <v>3447389</v>
      </c>
      <c r="G187" s="2">
        <v>39000</v>
      </c>
      <c r="H187" s="2">
        <v>318632</v>
      </c>
      <c r="I187" s="3">
        <v>3221</v>
      </c>
      <c r="J187">
        <v>46.672717519999999</v>
      </c>
    </row>
    <row r="188" ht="14.25">
      <c r="A188" s="4" t="s">
        <v>18</v>
      </c>
      <c r="B188" s="2">
        <v>2003</v>
      </c>
      <c r="C188" t="str">
        <f t="shared" si="4"/>
        <v>Alberta-2003</v>
      </c>
      <c r="D188">
        <f>VLOOKUP(C188,mortality_collapsed!$C:$D,2,0)</f>
        <v>13928</v>
      </c>
      <c r="E188">
        <v>182</v>
      </c>
      <c r="F188">
        <v>3509947</v>
      </c>
      <c r="G188" s="2">
        <v>38600</v>
      </c>
      <c r="H188" s="2">
        <v>326656</v>
      </c>
      <c r="I188" s="3">
        <v>3293</v>
      </c>
      <c r="J188">
        <v>46.076215079999997</v>
      </c>
    </row>
    <row r="189" ht="14.25">
      <c r="A189" s="4" t="s">
        <v>18</v>
      </c>
      <c r="B189" s="2">
        <v>2004</v>
      </c>
      <c r="C189" t="str">
        <f t="shared" si="4"/>
        <v>Alberta-2004</v>
      </c>
      <c r="D189">
        <f>VLOOKUP(C189,mortality_collapsed!$C:$D,2,0)</f>
        <v>13888</v>
      </c>
      <c r="E189">
        <v>184</v>
      </c>
      <c r="F189">
        <v>3573374</v>
      </c>
      <c r="G189" s="2">
        <v>41400</v>
      </c>
      <c r="H189" s="2">
        <v>334557</v>
      </c>
      <c r="I189" s="3">
        <v>3453</v>
      </c>
      <c r="J189">
        <v>45.974969399999999</v>
      </c>
    </row>
    <row r="190" ht="14.25">
      <c r="A190" s="4" t="s">
        <v>18</v>
      </c>
      <c r="B190" s="2">
        <v>2005</v>
      </c>
      <c r="C190" t="str">
        <f t="shared" si="4"/>
        <v>Alberta-2005</v>
      </c>
      <c r="D190">
        <f>VLOOKUP(C190,mortality_collapsed!$C:$D,2,0)</f>
        <v>13984</v>
      </c>
      <c r="E190">
        <v>187</v>
      </c>
      <c r="F190">
        <v>3665615</v>
      </c>
      <c r="G190" s="2">
        <v>42500</v>
      </c>
      <c r="H190" s="2">
        <v>343776</v>
      </c>
      <c r="I190" s="3">
        <v>3619</v>
      </c>
      <c r="J190">
        <v>47.835589130000002</v>
      </c>
    </row>
    <row r="191" ht="14.25">
      <c r="A191" s="4" t="s">
        <v>18</v>
      </c>
      <c r="B191" s="2">
        <v>2006</v>
      </c>
      <c r="C191" t="str">
        <f t="shared" si="4"/>
        <v>Alberta-2006</v>
      </c>
      <c r="D191">
        <f>VLOOKUP(C191,mortality_collapsed!$C:$D,2,0)</f>
        <v>13668</v>
      </c>
      <c r="E191">
        <v>192</v>
      </c>
      <c r="F191">
        <v>3776186</v>
      </c>
      <c r="G191" s="2">
        <v>44300</v>
      </c>
      <c r="H191" s="2">
        <v>354751</v>
      </c>
      <c r="I191" s="3">
        <v>3718</v>
      </c>
      <c r="J191">
        <v>47.973023050000002</v>
      </c>
    </row>
    <row r="192" ht="14.25">
      <c r="A192" s="4" t="s">
        <v>18</v>
      </c>
      <c r="B192" s="2">
        <v>2007</v>
      </c>
      <c r="C192" t="str">
        <f t="shared" si="4"/>
        <v>Alberta-2007</v>
      </c>
      <c r="D192">
        <f>VLOOKUP(C192,mortality_collapsed!$C:$D,2,0)</f>
        <v>13844</v>
      </c>
      <c r="E192">
        <v>196</v>
      </c>
      <c r="F192">
        <v>3877631</v>
      </c>
      <c r="G192" s="2">
        <v>46200</v>
      </c>
      <c r="H192" s="2">
        <v>363480</v>
      </c>
      <c r="I192" s="3">
        <v>4012</v>
      </c>
      <c r="J192">
        <v>49.004858740000003</v>
      </c>
    </row>
    <row r="193" ht="14.25">
      <c r="A193" s="4" t="s">
        <v>18</v>
      </c>
      <c r="B193" s="2">
        <v>2008</v>
      </c>
      <c r="C193" t="str">
        <f t="shared" si="4"/>
        <v>Alberta-2008</v>
      </c>
      <c r="D193">
        <f>VLOOKUP(C193,mortality_collapsed!$C:$D,2,0)</f>
        <v>14356</v>
      </c>
      <c r="E193">
        <v>203</v>
      </c>
      <c r="F193">
        <v>3968578</v>
      </c>
      <c r="G193" s="2">
        <v>47800</v>
      </c>
      <c r="H193" s="2">
        <v>372703</v>
      </c>
      <c r="I193" s="3">
        <v>4003</v>
      </c>
      <c r="J193">
        <v>49.893023749999998</v>
      </c>
    </row>
    <row r="194" ht="14.25">
      <c r="A194" s="4" t="s">
        <v>18</v>
      </c>
      <c r="B194" s="2">
        <v>2009</v>
      </c>
      <c r="C194" t="str">
        <f t="shared" si="4"/>
        <v>Alberta-2009</v>
      </c>
      <c r="D194">
        <f>VLOOKUP(C194,mortality_collapsed!$C:$D,2,0)</f>
        <v>14354</v>
      </c>
      <c r="E194">
        <v>205</v>
      </c>
      <c r="F194">
        <v>4062017</v>
      </c>
      <c r="G194" s="2">
        <v>47400</v>
      </c>
      <c r="H194" s="2">
        <v>383007</v>
      </c>
      <c r="I194" s="3">
        <v>4032</v>
      </c>
      <c r="J194">
        <v>50.920854439999999</v>
      </c>
    </row>
    <row r="195" ht="14.25">
      <c r="A195" s="4" t="s">
        <v>18</v>
      </c>
      <c r="B195" s="2">
        <v>2010</v>
      </c>
      <c r="C195" t="str">
        <f t="shared" si="4"/>
        <v>Alberta-2010</v>
      </c>
      <c r="D195">
        <f>VLOOKUP(C195,mortality_collapsed!$C:$D,2,0)</f>
        <v>13740</v>
      </c>
      <c r="E195">
        <v>211</v>
      </c>
      <c r="F195">
        <v>4125793</v>
      </c>
      <c r="G195" s="2">
        <v>47200</v>
      </c>
      <c r="H195" s="2">
        <v>393689</v>
      </c>
      <c r="I195" s="3">
        <v>4386</v>
      </c>
      <c r="J195">
        <v>51.194527749999999</v>
      </c>
    </row>
    <row r="196" ht="14.25">
      <c r="A196" s="4" t="s">
        <v>18</v>
      </c>
      <c r="B196" s="2">
        <v>2011</v>
      </c>
      <c r="C196" t="str">
        <f t="shared" si="4"/>
        <v>Alberta-2011</v>
      </c>
      <c r="D196">
        <f>VLOOKUP(C196,mortality_collapsed!$C:$D,2,0)</f>
        <v>14146</v>
      </c>
      <c r="E196">
        <v>218</v>
      </c>
      <c r="F196">
        <v>4194730</v>
      </c>
      <c r="G196" s="2">
        <v>49200</v>
      </c>
      <c r="H196" s="2">
        <v>407025</v>
      </c>
      <c r="I196" s="3">
        <v>4332</v>
      </c>
      <c r="J196">
        <v>51.373498769999998</v>
      </c>
    </row>
    <row r="197" ht="14.25">
      <c r="A197" s="4" t="s">
        <v>18</v>
      </c>
      <c r="B197" s="2">
        <v>2012</v>
      </c>
      <c r="C197" t="str">
        <f t="shared" si="4"/>
        <v>Alberta-2012</v>
      </c>
      <c r="D197">
        <f>VLOOKUP(C197,mortality_collapsed!$C:$D,2,0)</f>
        <v>14164</v>
      </c>
      <c r="E197">
        <v>220</v>
      </c>
      <c r="F197">
        <v>4297999</v>
      </c>
      <c r="G197" s="2">
        <v>50500</v>
      </c>
      <c r="H197" s="2">
        <v>426052</v>
      </c>
      <c r="I197" s="3">
        <v>4324</v>
      </c>
      <c r="J197">
        <v>51.899062630000003</v>
      </c>
    </row>
    <row r="198" ht="14.25">
      <c r="A198" s="4" t="s">
        <v>18</v>
      </c>
      <c r="B198" s="2">
        <v>2013</v>
      </c>
      <c r="C198" t="str">
        <f t="shared" si="4"/>
        <v>Alberta-2013</v>
      </c>
      <c r="D198">
        <f>VLOOKUP(C198,mortality_collapsed!$C:$D,2,0)</f>
        <v>14850</v>
      </c>
      <c r="E198">
        <v>227</v>
      </c>
      <c r="F198">
        <v>4424479</v>
      </c>
      <c r="G198" s="2">
        <v>51100</v>
      </c>
      <c r="H198" s="2">
        <v>445947</v>
      </c>
      <c r="I198" s="3">
        <v>4297</v>
      </c>
      <c r="J198">
        <v>52.299775859999997</v>
      </c>
    </row>
    <row r="199" ht="14.25">
      <c r="A199" s="4" t="s">
        <v>18</v>
      </c>
      <c r="B199" s="2">
        <v>2014</v>
      </c>
      <c r="C199" t="str">
        <f t="shared" si="4"/>
        <v>Alberta-2014</v>
      </c>
      <c r="D199">
        <f>VLOOKUP(C199,mortality_collapsed!$C:$D,2,0)</f>
        <v>14748</v>
      </c>
      <c r="E199">
        <v>233</v>
      </c>
      <c r="F199">
        <v>4545320</v>
      </c>
      <c r="G199" s="2">
        <v>51100</v>
      </c>
      <c r="H199" s="2">
        <v>464049</v>
      </c>
      <c r="I199" s="3">
        <v>4210</v>
      </c>
      <c r="J199">
        <v>53.306829389999997</v>
      </c>
    </row>
    <row r="200" ht="14.25">
      <c r="A200" s="4" t="s">
        <v>18</v>
      </c>
      <c r="B200" s="2">
        <v>2015</v>
      </c>
      <c r="C200" t="str">
        <f t="shared" si="4"/>
        <v>Alberta-2015</v>
      </c>
      <c r="D200">
        <f>VLOOKUP(C200,mortality_collapsed!$C:$D,2,0)</f>
        <v>14870</v>
      </c>
      <c r="E200">
        <v>241</v>
      </c>
      <c r="F200">
        <v>4632014</v>
      </c>
      <c r="G200" s="2">
        <v>50600</v>
      </c>
      <c r="H200" s="2">
        <v>481867</v>
      </c>
      <c r="I200" s="3">
        <v>4210</v>
      </c>
      <c r="J200">
        <v>54.95969582</v>
      </c>
    </row>
    <row r="201" ht="14.25">
      <c r="A201" s="4" t="s">
        <v>18</v>
      </c>
      <c r="B201" s="2">
        <v>2016</v>
      </c>
      <c r="C201" t="str">
        <f t="shared" si="4"/>
        <v>Alberta-2016</v>
      </c>
      <c r="D201">
        <f>VLOOKUP(C201,mortality_collapsed!$C:$D,2,0)</f>
        <v>14962</v>
      </c>
      <c r="E201">
        <v>245</v>
      </c>
      <c r="F201">
        <v>4697528</v>
      </c>
      <c r="G201" s="2">
        <v>48200</v>
      </c>
      <c r="H201" s="2">
        <v>502101</v>
      </c>
      <c r="I201" s="3">
        <v>4312</v>
      </c>
      <c r="J201">
        <v>56.444605359999997</v>
      </c>
    </row>
    <row r="202" ht="14.25">
      <c r="A202" s="4" t="s">
        <v>18</v>
      </c>
      <c r="B202" s="2">
        <v>2017</v>
      </c>
      <c r="C202" t="str">
        <f t="shared" si="4"/>
        <v>Alberta-2017</v>
      </c>
      <c r="D202">
        <f>VLOOKUP(C202,mortality_collapsed!$C:$D,2,0)</f>
        <v>15152</v>
      </c>
      <c r="E202">
        <v>252</v>
      </c>
      <c r="F202">
        <v>4761413</v>
      </c>
      <c r="G202" s="2">
        <v>49700</v>
      </c>
      <c r="H202" s="2">
        <v>524103</v>
      </c>
      <c r="I202" s="3">
        <v>4411</v>
      </c>
      <c r="J202">
        <v>56.195853499999998</v>
      </c>
    </row>
    <row r="203" ht="14.25">
      <c r="A203" s="4" t="s">
        <v>18</v>
      </c>
      <c r="B203" s="2">
        <v>2018</v>
      </c>
      <c r="C203" t="str">
        <f t="shared" si="4"/>
        <v>Alberta-2018</v>
      </c>
      <c r="D203">
        <f>VLOOKUP(C203,mortality_collapsed!$C:$D,2,0)</f>
        <v>15396</v>
      </c>
      <c r="E203">
        <v>252</v>
      </c>
      <c r="F203">
        <v>4841213</v>
      </c>
      <c r="G203" s="2">
        <v>48600</v>
      </c>
      <c r="H203" s="2">
        <v>548657</v>
      </c>
      <c r="I203" s="3">
        <v>4480</v>
      </c>
      <c r="J203">
        <v>57.619678890000003</v>
      </c>
    </row>
    <row r="204" ht="14.25">
      <c r="A204" s="4" t="s">
        <v>18</v>
      </c>
      <c r="B204" s="2">
        <v>2019</v>
      </c>
      <c r="C204" t="str">
        <f t="shared" si="4"/>
        <v>Alberta-2019</v>
      </c>
      <c r="D204">
        <f>VLOOKUP(C204,mortality_collapsed!$C:$D,2,0)</f>
        <v>15334</v>
      </c>
      <c r="E204">
        <v>257</v>
      </c>
      <c r="F204">
        <v>4933102</v>
      </c>
      <c r="G204" s="2">
        <v>49100</v>
      </c>
      <c r="H204" s="2">
        <v>577725</v>
      </c>
      <c r="I204" s="3">
        <v>4383</v>
      </c>
      <c r="J204">
        <v>58.647379409999999</v>
      </c>
    </row>
    <row r="205" ht="14.25">
      <c r="A205" s="4" t="s">
        <v>18</v>
      </c>
      <c r="B205" s="2">
        <v>2020</v>
      </c>
      <c r="C205" t="str">
        <f t="shared" si="4"/>
        <v>Alberta-2020</v>
      </c>
      <c r="D205">
        <f>VLOOKUP(C205,mortality_collapsed!$C:$D,2,0)</f>
        <v>16118</v>
      </c>
      <c r="E205">
        <v>254</v>
      </c>
      <c r="F205">
        <v>5014431</v>
      </c>
      <c r="G205" s="2">
        <v>48800</v>
      </c>
      <c r="H205" s="2">
        <v>606936</v>
      </c>
      <c r="I205" s="3">
        <v>4441</v>
      </c>
      <c r="J205">
        <v>58.933112370000003</v>
      </c>
    </row>
    <row r="206" ht="14.25">
      <c r="A206" s="4" t="s">
        <v>18</v>
      </c>
      <c r="B206" s="2">
        <v>2021</v>
      </c>
      <c r="C206" t="str">
        <f t="shared" si="4"/>
        <v>Alberta-2021</v>
      </c>
      <c r="D206">
        <f>VLOOKUP(C206,mortality_collapsed!$C:$D,2,0)</f>
        <v>16402</v>
      </c>
      <c r="E206">
        <v>250</v>
      </c>
      <c r="F206">
        <v>5067580</v>
      </c>
      <c r="G206" s="2">
        <v>47300</v>
      </c>
      <c r="H206" s="2">
        <v>636049</v>
      </c>
      <c r="I206" s="3">
        <v>4610</v>
      </c>
      <c r="J206">
        <v>60.208622689999999</v>
      </c>
    </row>
    <row r="207" ht="14.25">
      <c r="A207" s="4" t="s">
        <v>18</v>
      </c>
      <c r="B207" s="2">
        <v>2022</v>
      </c>
      <c r="C207" t="str">
        <f t="shared" si="4"/>
        <v>Alberta-2022</v>
      </c>
      <c r="D207">
        <f>VLOOKUP(C207,mortality_collapsed!$C:$D,2,0)</f>
        <v>17132</v>
      </c>
      <c r="E207">
        <v>246</v>
      </c>
      <c r="F207">
        <v>5180936</v>
      </c>
      <c r="G207" s="2">
        <v>47000</v>
      </c>
      <c r="H207" s="2">
        <v>668205</v>
      </c>
      <c r="I207" s="3">
        <v>4524</v>
      </c>
      <c r="J207">
        <v>59.36413452</v>
      </c>
    </row>
    <row r="208" ht="14.25">
      <c r="A208" s="4" t="s">
        <v>18</v>
      </c>
      <c r="B208" s="2">
        <v>2023</v>
      </c>
      <c r="C208" t="str">
        <f t="shared" si="4"/>
        <v>Alberta-2023</v>
      </c>
      <c r="D208">
        <f>VLOOKUP(C208,mortality_collapsed!$C:$D,2,0)</f>
        <v>15582</v>
      </c>
      <c r="E208">
        <v>241</v>
      </c>
      <c r="F208">
        <v>5393646</v>
      </c>
      <c r="G208" s="2">
        <v>47700</v>
      </c>
      <c r="H208" s="2">
        <v>705070</v>
      </c>
      <c r="I208" s="3">
        <v>4536</v>
      </c>
      <c r="J208">
        <v>59.558114619999998</v>
      </c>
    </row>
    <row r="209" ht="14.25">
      <c r="A209" t="s">
        <v>19</v>
      </c>
      <c r="B209" s="2">
        <v>2001</v>
      </c>
      <c r="C209" t="str">
        <f t="shared" si="4"/>
        <v xml:space="preserve">British Columbia-2001</v>
      </c>
      <c r="D209">
        <f>VLOOKUP(C209,mortality_collapsed!$C:$D,2,0)</f>
        <v>21706</v>
      </c>
      <c r="E209">
        <v>199</v>
      </c>
      <c r="F209">
        <v>4616564</v>
      </c>
      <c r="G209" s="2">
        <v>34900</v>
      </c>
      <c r="H209" s="2">
        <v>539668</v>
      </c>
      <c r="I209" s="3">
        <v>3082</v>
      </c>
      <c r="J209">
        <v>43.852799210000001</v>
      </c>
    </row>
    <row r="210" ht="14.25">
      <c r="A210" t="s">
        <v>19</v>
      </c>
      <c r="B210" s="2">
        <v>2002</v>
      </c>
      <c r="C210" t="str">
        <f t="shared" si="4"/>
        <v xml:space="preserve">British Columbia-2002</v>
      </c>
      <c r="D210">
        <f>VLOOKUP(C210,mortality_collapsed!$C:$D,2,0)</f>
        <v>21004</v>
      </c>
      <c r="E210">
        <v>201</v>
      </c>
      <c r="F210">
        <v>4650103</v>
      </c>
      <c r="G210" s="2">
        <v>32900</v>
      </c>
      <c r="H210" s="2">
        <v>549599</v>
      </c>
      <c r="I210" s="3">
        <v>3165</v>
      </c>
      <c r="J210">
        <v>44.106452300000001</v>
      </c>
    </row>
    <row r="211" ht="14.25">
      <c r="A211" t="s">
        <v>19</v>
      </c>
      <c r="B211" s="2">
        <v>2003</v>
      </c>
      <c r="C211" t="str">
        <f t="shared" si="4"/>
        <v xml:space="preserve">British Columbia-2003</v>
      </c>
      <c r="D211">
        <f>VLOOKUP(C211,mortality_collapsed!$C:$D,2,0)</f>
        <v>21170</v>
      </c>
      <c r="E211">
        <v>202</v>
      </c>
      <c r="F211">
        <v>4685028</v>
      </c>
      <c r="G211" s="2">
        <v>33600</v>
      </c>
      <c r="H211" s="2">
        <v>560581</v>
      </c>
      <c r="I211" s="3">
        <v>3214</v>
      </c>
      <c r="J211">
        <v>44.975253500000001</v>
      </c>
    </row>
    <row r="212" ht="14.25">
      <c r="A212" t="s">
        <v>19</v>
      </c>
      <c r="B212" s="2">
        <v>2004</v>
      </c>
      <c r="C212" t="str">
        <f t="shared" si="4"/>
        <v xml:space="preserve">British Columbia-2004</v>
      </c>
      <c r="D212">
        <f>VLOOKUP(C212,mortality_collapsed!$C:$D,2,0)</f>
        <v>21462</v>
      </c>
      <c r="E212">
        <v>199</v>
      </c>
      <c r="F212">
        <v>4727578</v>
      </c>
      <c r="G212" s="2">
        <v>34000</v>
      </c>
      <c r="H212" s="2">
        <v>571948</v>
      </c>
      <c r="I212" s="3">
        <v>3208</v>
      </c>
      <c r="J212">
        <v>45.911818259999997</v>
      </c>
    </row>
    <row r="213" ht="14.25">
      <c r="A213" t="s">
        <v>19</v>
      </c>
      <c r="B213" s="2">
        <v>2005</v>
      </c>
      <c r="C213" t="str">
        <f t="shared" si="4"/>
        <v xml:space="preserve">British Columbia-2005</v>
      </c>
      <c r="D213">
        <f>VLOOKUP(C213,mortality_collapsed!$C:$D,2,0)</f>
        <v>20748</v>
      </c>
      <c r="E213">
        <v>203</v>
      </c>
      <c r="F213">
        <v>4780030</v>
      </c>
      <c r="G213" s="2">
        <v>34800</v>
      </c>
      <c r="H213" s="2">
        <v>583954</v>
      </c>
      <c r="I213" s="3">
        <v>3320</v>
      </c>
      <c r="J213">
        <v>46.398891970000001</v>
      </c>
    </row>
    <row r="214" ht="14.25">
      <c r="A214" t="s">
        <v>19</v>
      </c>
      <c r="B214" s="2">
        <v>2006</v>
      </c>
      <c r="C214" t="str">
        <f t="shared" si="4"/>
        <v xml:space="preserve">British Columbia-2006</v>
      </c>
      <c r="D214">
        <f>VLOOKUP(C214,mortality_collapsed!$C:$D,2,0)</f>
        <v>20712</v>
      </c>
      <c r="E214">
        <v>204</v>
      </c>
      <c r="F214">
        <v>4841339</v>
      </c>
      <c r="G214" s="2">
        <v>36300</v>
      </c>
      <c r="H214" s="2">
        <v>599546</v>
      </c>
      <c r="I214" s="3">
        <v>3239</v>
      </c>
      <c r="J214">
        <v>46.81036486</v>
      </c>
    </row>
    <row r="215" ht="14.25">
      <c r="A215" t="s">
        <v>19</v>
      </c>
      <c r="B215" s="2">
        <v>2007</v>
      </c>
      <c r="C215" t="str">
        <f t="shared" si="4"/>
        <v xml:space="preserve">British Columbia-2007</v>
      </c>
      <c r="D215">
        <f>VLOOKUP(C215,mortality_collapsed!$C:$D,2,0)</f>
        <v>22122</v>
      </c>
      <c r="E215">
        <v>204</v>
      </c>
      <c r="F215">
        <v>4904834</v>
      </c>
      <c r="G215" s="2">
        <v>38100</v>
      </c>
      <c r="H215" s="2">
        <v>613847</v>
      </c>
      <c r="I215" s="3">
        <v>3412</v>
      </c>
      <c r="J215">
        <v>48.299553420000002</v>
      </c>
    </row>
    <row r="216" ht="14.25">
      <c r="A216" t="s">
        <v>19</v>
      </c>
      <c r="B216" s="2">
        <v>2008</v>
      </c>
      <c r="C216" t="str">
        <f t="shared" si="4"/>
        <v xml:space="preserve">British Columbia-2008</v>
      </c>
      <c r="D216">
        <f>VLOOKUP(C216,mortality_collapsed!$C:$D,2,0)</f>
        <v>22688</v>
      </c>
      <c r="E216">
        <v>208</v>
      </c>
      <c r="F216">
        <v>4979580</v>
      </c>
      <c r="G216" s="2">
        <v>37700</v>
      </c>
      <c r="H216" s="2">
        <v>630242</v>
      </c>
      <c r="I216" s="3">
        <v>3457</v>
      </c>
      <c r="J216">
        <v>48.937609199999997</v>
      </c>
    </row>
    <row r="217" ht="14.25">
      <c r="A217" t="s">
        <v>19</v>
      </c>
      <c r="B217" s="2">
        <v>2009</v>
      </c>
      <c r="C217" t="str">
        <f t="shared" si="4"/>
        <v xml:space="preserve">British Columbia-2009</v>
      </c>
      <c r="D217">
        <f>VLOOKUP(C217,mortality_collapsed!$C:$D,2,0)</f>
        <v>21686</v>
      </c>
      <c r="E217">
        <v>216</v>
      </c>
      <c r="F217">
        <v>5059291</v>
      </c>
      <c r="G217" s="2">
        <v>37800</v>
      </c>
      <c r="H217" s="2">
        <v>648778</v>
      </c>
      <c r="I217" s="3">
        <v>3470</v>
      </c>
      <c r="J217">
        <v>49.077306729999997</v>
      </c>
    </row>
    <row r="218" ht="14.25">
      <c r="A218" t="s">
        <v>19</v>
      </c>
      <c r="B218" s="2">
        <v>2010</v>
      </c>
      <c r="C218" t="str">
        <f t="shared" si="4"/>
        <v xml:space="preserve">British Columbia-2010</v>
      </c>
      <c r="D218">
        <f>VLOOKUP(C218,mortality_collapsed!$C:$D,2,0)</f>
        <v>20316</v>
      </c>
      <c r="E218">
        <v>217</v>
      </c>
      <c r="F218">
        <v>5133033</v>
      </c>
      <c r="G218" s="2">
        <v>36100</v>
      </c>
      <c r="H218" s="2">
        <v>667476</v>
      </c>
      <c r="I218" s="3">
        <v>3564</v>
      </c>
      <c r="J218">
        <v>50.383471159999999</v>
      </c>
    </row>
    <row r="219" ht="14.25">
      <c r="A219" t="s">
        <v>19</v>
      </c>
      <c r="B219" s="2">
        <v>2011</v>
      </c>
      <c r="C219" t="str">
        <f t="shared" si="4"/>
        <v xml:space="preserve">British Columbia-2011</v>
      </c>
      <c r="D219">
        <f>VLOOKUP(C219,mortality_collapsed!$C:$D,2,0)</f>
        <v>20150</v>
      </c>
      <c r="E219">
        <v>216</v>
      </c>
      <c r="F219">
        <v>5192431</v>
      </c>
      <c r="G219" s="2">
        <v>37300</v>
      </c>
      <c r="H219" s="2">
        <v>688612</v>
      </c>
      <c r="I219" s="3">
        <v>3616</v>
      </c>
      <c r="J219">
        <v>52.193752189999998</v>
      </c>
    </row>
    <row r="220" ht="14.25">
      <c r="A220" t="s">
        <v>19</v>
      </c>
      <c r="B220" s="2">
        <v>2012</v>
      </c>
      <c r="C220" t="str">
        <f t="shared" si="4"/>
        <v xml:space="preserve">British Columbia-2012</v>
      </c>
      <c r="D220">
        <f>VLOOKUP(C220,mortality_collapsed!$C:$D,2,0)</f>
        <v>20358</v>
      </c>
      <c r="E220">
        <v>224</v>
      </c>
      <c r="F220">
        <v>5289051</v>
      </c>
      <c r="G220" s="2">
        <v>37800</v>
      </c>
      <c r="H220" s="2">
        <v>718185</v>
      </c>
      <c r="I220" s="3">
        <v>3742</v>
      </c>
      <c r="J220">
        <v>52.606079970000003</v>
      </c>
    </row>
    <row r="221" ht="14.25">
      <c r="A221" t="s">
        <v>19</v>
      </c>
      <c r="B221" s="2">
        <v>2013</v>
      </c>
      <c r="C221" t="str">
        <f t="shared" si="4"/>
        <v xml:space="preserve">British Columbia-2013</v>
      </c>
      <c r="D221">
        <f>VLOOKUP(C221,mortality_collapsed!$C:$D,2,0)</f>
        <v>20860</v>
      </c>
      <c r="E221">
        <v>224</v>
      </c>
      <c r="F221">
        <v>5384392</v>
      </c>
      <c r="G221" s="2">
        <v>38700</v>
      </c>
      <c r="H221" s="2">
        <v>749449</v>
      </c>
      <c r="I221" s="3">
        <v>3664</v>
      </c>
      <c r="J221">
        <v>53.419879360000003</v>
      </c>
    </row>
    <row r="222" ht="14.25">
      <c r="A222" t="s">
        <v>19</v>
      </c>
      <c r="B222" s="2">
        <v>2014</v>
      </c>
      <c r="C222" t="str">
        <f t="shared" si="4"/>
        <v xml:space="preserve">British Columbia-2014</v>
      </c>
      <c r="D222">
        <f>VLOOKUP(C222,mortality_collapsed!$C:$D,2,0)</f>
        <v>20762</v>
      </c>
      <c r="E222">
        <v>227</v>
      </c>
      <c r="F222">
        <v>5493187</v>
      </c>
      <c r="G222" s="2">
        <v>39400</v>
      </c>
      <c r="H222" s="2">
        <v>780496</v>
      </c>
      <c r="I222" s="3">
        <v>3623</v>
      </c>
      <c r="J222">
        <v>53.646021349999998</v>
      </c>
    </row>
    <row r="223" ht="14.25">
      <c r="A223" t="s">
        <v>19</v>
      </c>
      <c r="B223" s="2">
        <v>2015</v>
      </c>
      <c r="C223" t="str">
        <f t="shared" si="4"/>
        <v xml:space="preserve">British Columbia-2015</v>
      </c>
      <c r="D223">
        <f>VLOOKUP(C223,mortality_collapsed!$C:$D,2,0)</f>
        <v>21364</v>
      </c>
      <c r="E223">
        <v>229</v>
      </c>
      <c r="F223">
        <v>5578364</v>
      </c>
      <c r="G223" s="2">
        <v>38400</v>
      </c>
      <c r="H223" s="2">
        <v>812892</v>
      </c>
      <c r="I223" s="3">
        <v>3693</v>
      </c>
      <c r="J223">
        <v>54.327057089999997</v>
      </c>
    </row>
    <row r="224" ht="14.25">
      <c r="A224" t="s">
        <v>19</v>
      </c>
      <c r="B224" s="2">
        <v>2016</v>
      </c>
      <c r="C224" t="str">
        <f t="shared" si="4"/>
        <v xml:space="preserve">British Columbia-2016</v>
      </c>
      <c r="D224">
        <f>VLOOKUP(C224,mortality_collapsed!$C:$D,2,0)</f>
        <v>21624</v>
      </c>
      <c r="E224">
        <v>238</v>
      </c>
      <c r="F224">
        <v>5706784</v>
      </c>
      <c r="G224" s="2">
        <v>39300</v>
      </c>
      <c r="H224" s="2">
        <v>845515</v>
      </c>
      <c r="I224" s="3">
        <v>3749</v>
      </c>
      <c r="J224">
        <v>55.107566949999999</v>
      </c>
    </row>
    <row r="225" ht="14.25">
      <c r="A225" t="s">
        <v>19</v>
      </c>
      <c r="B225" s="2">
        <v>2017</v>
      </c>
      <c r="C225" t="str">
        <f t="shared" si="4"/>
        <v xml:space="preserve">British Columbia-2017</v>
      </c>
      <c r="D225">
        <f>VLOOKUP(C225,mortality_collapsed!$C:$D,2,0)</f>
        <v>22538</v>
      </c>
      <c r="E225">
        <v>239</v>
      </c>
      <c r="F225">
        <v>5811610</v>
      </c>
      <c r="G225" s="2">
        <v>41300</v>
      </c>
      <c r="H225" s="2">
        <v>877408</v>
      </c>
      <c r="I225" s="3">
        <v>3742</v>
      </c>
      <c r="J225">
        <v>56.10536862</v>
      </c>
    </row>
    <row r="226" ht="14.25">
      <c r="A226" t="s">
        <v>19</v>
      </c>
      <c r="B226" s="2">
        <v>2018</v>
      </c>
      <c r="C226" t="str">
        <f t="shared" si="4"/>
        <v xml:space="preserve">British Columbia-2018</v>
      </c>
      <c r="D226">
        <f>VLOOKUP(C226,mortality_collapsed!$C:$D,2,0)</f>
        <v>21444</v>
      </c>
      <c r="E226">
        <v>250</v>
      </c>
      <c r="F226">
        <v>5931384</v>
      </c>
      <c r="G226" s="2">
        <v>42100</v>
      </c>
      <c r="H226" s="2">
        <v>910405</v>
      </c>
      <c r="I226" s="3">
        <v>3774</v>
      </c>
      <c r="J226">
        <v>56.635702459999997</v>
      </c>
    </row>
    <row r="227" ht="14.25">
      <c r="A227" t="s">
        <v>19</v>
      </c>
      <c r="B227" s="2">
        <v>2019</v>
      </c>
      <c r="C227" t="str">
        <f t="shared" si="4"/>
        <v xml:space="preserve">British Columbia-2019</v>
      </c>
      <c r="D227">
        <f>VLOOKUP(C227,mortality_collapsed!$C:$D,2,0)</f>
        <v>21000</v>
      </c>
      <c r="E227">
        <v>250</v>
      </c>
      <c r="F227">
        <v>6056735</v>
      </c>
      <c r="G227" s="2">
        <v>42800</v>
      </c>
      <c r="H227" s="2">
        <v>945713</v>
      </c>
      <c r="I227" s="3">
        <v>3812</v>
      </c>
      <c r="J227">
        <v>59.238720030000003</v>
      </c>
    </row>
    <row r="228" ht="14.25">
      <c r="A228" t="s">
        <v>19</v>
      </c>
      <c r="B228" s="2">
        <v>2020</v>
      </c>
      <c r="C228" t="str">
        <f t="shared" ref="C228:C231" si="5">A228&amp;"-"&amp;B228</f>
        <v xml:space="preserve">British Columbia-2020</v>
      </c>
      <c r="D228">
        <f>VLOOKUP(C228,mortality_collapsed!$C:$D,2,0)</f>
        <v>21402</v>
      </c>
      <c r="E228">
        <v>253</v>
      </c>
      <c r="F228">
        <v>6158677</v>
      </c>
      <c r="G228" s="2">
        <v>46200</v>
      </c>
      <c r="H228" s="2">
        <v>982576</v>
      </c>
      <c r="I228" s="3">
        <v>4059</v>
      </c>
      <c r="J228">
        <v>60.65649775</v>
      </c>
    </row>
    <row r="229" ht="14.25">
      <c r="A229" t="s">
        <v>19</v>
      </c>
      <c r="B229" s="2">
        <v>2021</v>
      </c>
      <c r="C229" t="str">
        <f t="shared" si="5"/>
        <v xml:space="preserve">British Columbia-2021</v>
      </c>
      <c r="D229">
        <f>VLOOKUP(C229,mortality_collapsed!$C:$D,2,0)</f>
        <v>21704</v>
      </c>
      <c r="E229">
        <v>259</v>
      </c>
      <c r="F229">
        <v>6244761</v>
      </c>
      <c r="G229" s="2">
        <v>45800</v>
      </c>
      <c r="H229" s="2">
        <v>1018096</v>
      </c>
      <c r="I229" s="3">
        <v>4396</v>
      </c>
      <c r="J229">
        <v>62.077510840000002</v>
      </c>
    </row>
    <row r="230" ht="14.25">
      <c r="A230" t="s">
        <v>19</v>
      </c>
      <c r="B230" s="2">
        <v>2022</v>
      </c>
      <c r="C230" t="str">
        <f t="shared" si="5"/>
        <v xml:space="preserve">British Columbia-2022</v>
      </c>
      <c r="D230">
        <f>VLOOKUP(C230,mortality_collapsed!$C:$D,2,0)</f>
        <v>22636</v>
      </c>
      <c r="E230">
        <v>268</v>
      </c>
      <c r="F230">
        <v>6413019</v>
      </c>
      <c r="G230" s="2">
        <v>45600</v>
      </c>
      <c r="H230" s="2">
        <v>1054174</v>
      </c>
      <c r="I230" s="3">
        <v>4326</v>
      </c>
      <c r="J230">
        <v>61.71625332</v>
      </c>
    </row>
    <row r="231" ht="14.25">
      <c r="A231" t="s">
        <v>19</v>
      </c>
      <c r="B231" s="2">
        <v>2023</v>
      </c>
      <c r="C231" t="str">
        <f t="shared" si="5"/>
        <v xml:space="preserve">British Columbia-2023</v>
      </c>
      <c r="D231">
        <f>VLOOKUP(C231,mortality_collapsed!$C:$D,2,0)</f>
        <v>22072</v>
      </c>
      <c r="E231">
        <v>272</v>
      </c>
      <c r="F231">
        <v>6606064</v>
      </c>
      <c r="G231" s="2">
        <v>46300</v>
      </c>
      <c r="H231" s="2">
        <v>1090768</v>
      </c>
      <c r="I231" s="3">
        <v>4595</v>
      </c>
      <c r="J231">
        <v>62.616351649999999</v>
      </c>
    </row>
  </sheetData>
  <printOptions headings="0" gridLines="0"/>
  <pageMargins left="0.69999999999999996" right="0.69999999999999996" top="0.75" bottom="0.75" header="0.29999999999999999" footer="0.29999999999999999"/>
  <pageSetup paperSize="1" scale="100" fitToWidth="1" fitToHeight="1" pageOrder="downThenOver" orientation="portrait" usePrinterDefaults="1" blackAndWhite="0" draft="0" cellComments="none" useFirstPageNumber="0" errors="displayed" horizontalDpi="600" verticalDpi="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customWidth="1" min="2" max="2" width="13.57421875"/>
    <col customWidth="1" min="3" max="3" width="30.7109375"/>
    <col customWidth="1" min="4" max="4" width="19.00390625"/>
  </cols>
  <sheetData>
    <row r="1" ht="15">
      <c r="A1" s="1" t="s">
        <v>20</v>
      </c>
      <c r="B1" s="5" t="s">
        <v>21</v>
      </c>
      <c r="C1" s="6" t="s">
        <v>2</v>
      </c>
      <c r="D1" s="6" t="s">
        <v>22</v>
      </c>
    </row>
    <row r="2" ht="15">
      <c r="A2" s="1" t="s">
        <v>10</v>
      </c>
      <c r="B2">
        <v>2001</v>
      </c>
      <c r="C2" s="6" t="str">
        <f t="shared" ref="C2:C9" si="6">A2&amp;"-"&amp;B2</f>
        <v xml:space="preserve">Newfoundland and Labrador-2001</v>
      </c>
      <c r="D2" s="6">
        <v>3440</v>
      </c>
    </row>
    <row r="3" ht="15">
      <c r="A3" s="1" t="s">
        <v>10</v>
      </c>
      <c r="B3">
        <v>2002</v>
      </c>
      <c r="C3" s="6" t="str">
        <f t="shared" si="6"/>
        <v xml:space="preserve">Newfoundland and Labrador-2002</v>
      </c>
      <c r="D3" s="6">
        <v>3520</v>
      </c>
    </row>
    <row r="4" ht="15">
      <c r="A4" s="1" t="s">
        <v>10</v>
      </c>
      <c r="B4">
        <v>2003</v>
      </c>
      <c r="C4" s="6" t="str">
        <f t="shared" si="6"/>
        <v xml:space="preserve">Newfoundland and Labrador-2003</v>
      </c>
      <c r="D4" s="6">
        <v>3528</v>
      </c>
    </row>
    <row r="5" ht="15">
      <c r="A5" s="1" t="s">
        <v>10</v>
      </c>
      <c r="B5">
        <v>2004</v>
      </c>
      <c r="C5" s="6" t="str">
        <f t="shared" si="6"/>
        <v xml:space="preserve">Newfoundland and Labrador-2004</v>
      </c>
      <c r="D5" s="6">
        <v>3692</v>
      </c>
    </row>
    <row r="6" ht="15">
      <c r="A6" s="1" t="s">
        <v>10</v>
      </c>
      <c r="B6">
        <v>2005</v>
      </c>
      <c r="C6" s="6" t="str">
        <f t="shared" si="6"/>
        <v xml:space="preserve">Newfoundland and Labrador-2005</v>
      </c>
      <c r="D6" s="6">
        <v>3594</v>
      </c>
    </row>
    <row r="7" ht="15">
      <c r="A7" s="1" t="s">
        <v>10</v>
      </c>
      <c r="B7">
        <v>2006</v>
      </c>
      <c r="C7" s="6" t="str">
        <f t="shared" si="6"/>
        <v xml:space="preserve">Newfoundland and Labrador-2006</v>
      </c>
      <c r="D7" s="6">
        <v>3482</v>
      </c>
    </row>
    <row r="8" ht="15">
      <c r="A8" s="1" t="s">
        <v>10</v>
      </c>
      <c r="B8">
        <v>2007</v>
      </c>
      <c r="C8" s="6" t="str">
        <f t="shared" si="6"/>
        <v xml:space="preserve">Newfoundland and Labrador-2007</v>
      </c>
      <c r="D8" s="6">
        <v>3420</v>
      </c>
    </row>
    <row r="9" ht="15">
      <c r="A9" s="1" t="s">
        <v>10</v>
      </c>
      <c r="B9">
        <v>2008</v>
      </c>
      <c r="C9" s="6" t="str">
        <f t="shared" si="6"/>
        <v xml:space="preserve">Newfoundland and Labrador-2008</v>
      </c>
      <c r="D9" s="6">
        <v>3322</v>
      </c>
    </row>
    <row r="10" ht="15">
      <c r="A10" s="1" t="s">
        <v>10</v>
      </c>
      <c r="B10">
        <v>2009</v>
      </c>
      <c r="C10" s="6" t="str">
        <f t="shared" ref="C10:C73" si="7">A10&amp;"-"&amp;B10</f>
        <v xml:space="preserve">Newfoundland and Labrador-2009</v>
      </c>
      <c r="D10" s="6">
        <v>3326</v>
      </c>
    </row>
    <row r="11" ht="15">
      <c r="A11" s="1" t="s">
        <v>10</v>
      </c>
      <c r="B11">
        <v>2010</v>
      </c>
      <c r="C11" s="6" t="str">
        <f t="shared" si="7"/>
        <v xml:space="preserve">Newfoundland and Labrador-2010</v>
      </c>
      <c r="D11" s="6">
        <v>3220</v>
      </c>
    </row>
    <row r="12" ht="15">
      <c r="A12" s="1" t="s">
        <v>10</v>
      </c>
      <c r="B12">
        <v>2011</v>
      </c>
      <c r="C12" s="6" t="str">
        <f t="shared" si="7"/>
        <v xml:space="preserve">Newfoundland and Labrador-2011</v>
      </c>
      <c r="D12" s="6">
        <v>3150</v>
      </c>
    </row>
    <row r="13" ht="15">
      <c r="A13" s="1" t="s">
        <v>10</v>
      </c>
      <c r="B13">
        <v>2012</v>
      </c>
      <c r="C13" s="6" t="str">
        <f t="shared" si="7"/>
        <v xml:space="preserve">Newfoundland and Labrador-2012</v>
      </c>
      <c r="D13" s="6">
        <v>3094</v>
      </c>
    </row>
    <row r="14" ht="15">
      <c r="A14" s="1" t="s">
        <v>10</v>
      </c>
      <c r="B14">
        <v>2013</v>
      </c>
      <c r="C14" s="6" t="str">
        <f t="shared" si="7"/>
        <v xml:space="preserve">Newfoundland and Labrador-2013</v>
      </c>
      <c r="D14" s="6">
        <v>3352</v>
      </c>
    </row>
    <row r="15" ht="15">
      <c r="A15" s="1" t="s">
        <v>10</v>
      </c>
      <c r="B15">
        <v>2014</v>
      </c>
      <c r="C15" s="6" t="str">
        <f t="shared" si="7"/>
        <v xml:space="preserve">Newfoundland and Labrador-2014</v>
      </c>
      <c r="D15" s="6">
        <v>3280</v>
      </c>
    </row>
    <row r="16" ht="15">
      <c r="A16" s="1" t="s">
        <v>10</v>
      </c>
      <c r="B16">
        <v>2015</v>
      </c>
      <c r="C16" s="6" t="str">
        <f t="shared" si="7"/>
        <v xml:space="preserve">Newfoundland and Labrador-2015</v>
      </c>
      <c r="D16" s="6">
        <v>3600</v>
      </c>
    </row>
    <row r="17" ht="15">
      <c r="A17" s="1" t="s">
        <v>10</v>
      </c>
      <c r="B17">
        <v>2016</v>
      </c>
      <c r="C17" s="6" t="str">
        <f t="shared" si="7"/>
        <v xml:space="preserve">Newfoundland and Labrador-2016</v>
      </c>
      <c r="D17" s="6">
        <v>3234</v>
      </c>
    </row>
    <row r="18" ht="15">
      <c r="A18" s="1" t="s">
        <v>10</v>
      </c>
      <c r="B18">
        <v>2017</v>
      </c>
      <c r="C18" s="6" t="str">
        <f t="shared" si="7"/>
        <v xml:space="preserve">Newfoundland and Labrador-2017</v>
      </c>
      <c r="D18" s="6">
        <v>3086</v>
      </c>
    </row>
    <row r="19" ht="15">
      <c r="A19" s="1" t="s">
        <v>10</v>
      </c>
      <c r="B19">
        <v>2018</v>
      </c>
      <c r="C19" s="6" t="str">
        <f t="shared" si="7"/>
        <v xml:space="preserve">Newfoundland and Labrador-2018</v>
      </c>
      <c r="D19" s="6">
        <v>3394</v>
      </c>
    </row>
    <row r="20" ht="15">
      <c r="A20" s="1" t="s">
        <v>10</v>
      </c>
      <c r="B20">
        <v>2019</v>
      </c>
      <c r="C20" s="6" t="str">
        <f t="shared" si="7"/>
        <v xml:space="preserve">Newfoundland and Labrador-2019</v>
      </c>
      <c r="D20" s="6">
        <v>3180</v>
      </c>
    </row>
    <row r="21" ht="15">
      <c r="A21" s="1" t="s">
        <v>10</v>
      </c>
      <c r="B21">
        <v>2020</v>
      </c>
      <c r="C21" s="6" t="str">
        <f t="shared" si="7"/>
        <v xml:space="preserve">Newfoundland and Labrador-2020</v>
      </c>
      <c r="D21" s="6">
        <v>3294</v>
      </c>
    </row>
    <row r="22" ht="15">
      <c r="A22" s="1" t="s">
        <v>10</v>
      </c>
      <c r="B22">
        <v>2021</v>
      </c>
      <c r="C22" s="6" t="str">
        <f t="shared" si="7"/>
        <v xml:space="preserve">Newfoundland and Labrador-2021</v>
      </c>
      <c r="D22" s="6">
        <v>3370</v>
      </c>
    </row>
    <row r="23" ht="15">
      <c r="A23" s="1" t="s">
        <v>10</v>
      </c>
      <c r="B23">
        <v>2022</v>
      </c>
      <c r="C23" s="6" t="str">
        <f t="shared" si="7"/>
        <v xml:space="preserve">Newfoundland and Labrador-2022</v>
      </c>
      <c r="D23" s="6">
        <v>3464</v>
      </c>
    </row>
    <row r="24" ht="15">
      <c r="A24" s="1" t="s">
        <v>10</v>
      </c>
      <c r="B24">
        <v>2023</v>
      </c>
      <c r="C24" s="6" t="str">
        <f t="shared" si="7"/>
        <v xml:space="preserve">Newfoundland and Labrador-2023</v>
      </c>
      <c r="D24" s="6">
        <v>3480</v>
      </c>
    </row>
    <row r="25" ht="15">
      <c r="A25" s="1" t="s">
        <v>10</v>
      </c>
      <c r="B25">
        <v>2024</v>
      </c>
      <c r="C25" s="6" t="str">
        <f t="shared" si="7"/>
        <v xml:space="preserve">Newfoundland and Labrador-2024</v>
      </c>
      <c r="D25" s="6">
        <v>3462</v>
      </c>
    </row>
    <row r="26" ht="14.25">
      <c r="A26" s="7" t="s">
        <v>11</v>
      </c>
      <c r="B26" s="7">
        <v>2001</v>
      </c>
      <c r="C26" s="6" t="str">
        <f t="shared" si="7"/>
        <v xml:space="preserve">Prince Edward Island-2001</v>
      </c>
      <c r="D26" s="6">
        <v>1002</v>
      </c>
    </row>
    <row r="27" ht="14.25">
      <c r="A27" s="7" t="s">
        <v>11</v>
      </c>
      <c r="B27" s="7">
        <v>2002</v>
      </c>
      <c r="C27" s="6" t="str">
        <f t="shared" si="7"/>
        <v xml:space="preserve">Prince Edward Island-2002</v>
      </c>
      <c r="D27" s="6">
        <v>1036</v>
      </c>
    </row>
    <row r="28" ht="14.25">
      <c r="A28" s="7" t="s">
        <v>11</v>
      </c>
      <c r="B28" s="7">
        <v>2003</v>
      </c>
      <c r="C28" s="6" t="str">
        <f t="shared" si="7"/>
        <v xml:space="preserve">Prince Edward Island-2003</v>
      </c>
      <c r="D28" s="6">
        <v>930</v>
      </c>
    </row>
    <row r="29" ht="14.25">
      <c r="A29" s="7" t="s">
        <v>11</v>
      </c>
      <c r="B29" s="7">
        <v>2004</v>
      </c>
      <c r="C29" s="6" t="str">
        <f t="shared" si="7"/>
        <v xml:space="preserve">Prince Edward Island-2004</v>
      </c>
      <c r="D29" s="6">
        <v>1026</v>
      </c>
    </row>
    <row r="30" ht="14.25">
      <c r="A30" s="7" t="s">
        <v>11</v>
      </c>
      <c r="B30" s="7">
        <v>2005</v>
      </c>
      <c r="C30" s="6" t="str">
        <f t="shared" si="7"/>
        <v xml:space="preserve">Prince Edward Island-2005</v>
      </c>
      <c r="D30" s="6">
        <v>848</v>
      </c>
    </row>
    <row r="31" ht="14.25">
      <c r="A31" s="7" t="s">
        <v>11</v>
      </c>
      <c r="B31" s="7">
        <v>2006</v>
      </c>
      <c r="C31" s="6" t="str">
        <f t="shared" si="7"/>
        <v xml:space="preserve">Prince Edward Island-2006</v>
      </c>
      <c r="D31" s="6">
        <v>906</v>
      </c>
    </row>
    <row r="32" ht="14.25">
      <c r="A32" s="7" t="s">
        <v>11</v>
      </c>
      <c r="B32" s="7">
        <v>2007</v>
      </c>
      <c r="C32" s="6" t="str">
        <f t="shared" si="7"/>
        <v xml:space="preserve">Prince Edward Island-2007</v>
      </c>
      <c r="D32" s="6">
        <v>852</v>
      </c>
    </row>
    <row r="33" ht="14.25">
      <c r="A33" s="7" t="s">
        <v>11</v>
      </c>
      <c r="B33" s="7">
        <v>2008</v>
      </c>
      <c r="C33" s="6" t="str">
        <f t="shared" si="7"/>
        <v xml:space="preserve">Prince Edward Island-2008</v>
      </c>
      <c r="D33" s="6">
        <v>872</v>
      </c>
    </row>
    <row r="34" ht="14.25">
      <c r="A34" s="7" t="s">
        <v>11</v>
      </c>
      <c r="B34" s="7">
        <v>2009</v>
      </c>
      <c r="C34" s="6" t="str">
        <f t="shared" si="7"/>
        <v xml:space="preserve">Prince Edward Island-2009</v>
      </c>
      <c r="D34" s="6">
        <v>894</v>
      </c>
    </row>
    <row r="35" ht="14.25">
      <c r="A35" s="7" t="s">
        <v>11</v>
      </c>
      <c r="B35" s="7">
        <v>2010</v>
      </c>
      <c r="C35" s="6" t="str">
        <f t="shared" si="7"/>
        <v xml:space="preserve">Prince Edward Island-2010</v>
      </c>
      <c r="D35" s="6">
        <v>706</v>
      </c>
    </row>
    <row r="36" ht="14.25">
      <c r="A36" s="7" t="s">
        <v>11</v>
      </c>
      <c r="B36" s="7">
        <v>2011</v>
      </c>
      <c r="C36" s="6" t="str">
        <f t="shared" si="7"/>
        <v xml:space="preserve">Prince Edward Island-2011</v>
      </c>
      <c r="D36" s="6">
        <v>862</v>
      </c>
    </row>
    <row r="37" ht="14.25">
      <c r="A37" s="7" t="s">
        <v>11</v>
      </c>
      <c r="B37" s="7">
        <v>2012</v>
      </c>
      <c r="C37" s="6" t="str">
        <f t="shared" si="7"/>
        <v xml:space="preserve">Prince Edward Island-2012</v>
      </c>
      <c r="D37" s="6">
        <v>740</v>
      </c>
    </row>
    <row r="38" ht="14.25">
      <c r="A38" s="7" t="s">
        <v>11</v>
      </c>
      <c r="B38" s="7">
        <v>2013</v>
      </c>
      <c r="C38" s="6" t="str">
        <f t="shared" si="7"/>
        <v xml:space="preserve">Prince Edward Island-2013</v>
      </c>
      <c r="D38" s="6">
        <v>842</v>
      </c>
    </row>
    <row r="39" ht="14.25">
      <c r="A39" s="7" t="s">
        <v>11</v>
      </c>
      <c r="B39" s="7">
        <v>2014</v>
      </c>
      <c r="C39" s="6" t="str">
        <f t="shared" si="7"/>
        <v xml:space="preserve">Prince Edward Island-2014</v>
      </c>
      <c r="D39" s="6">
        <v>860</v>
      </c>
    </row>
    <row r="40" ht="14.25">
      <c r="A40" s="7" t="s">
        <v>11</v>
      </c>
      <c r="B40" s="7">
        <v>2015</v>
      </c>
      <c r="C40" s="6" t="str">
        <f t="shared" si="7"/>
        <v xml:space="preserve">Prince Edward Island-2015</v>
      </c>
      <c r="D40" s="6">
        <v>844</v>
      </c>
    </row>
    <row r="41" ht="14.25">
      <c r="A41" s="7" t="s">
        <v>11</v>
      </c>
      <c r="B41" s="7">
        <v>2016</v>
      </c>
      <c r="C41" s="6" t="str">
        <f t="shared" si="7"/>
        <v xml:space="preserve">Prince Edward Island-2016</v>
      </c>
      <c r="D41" s="6">
        <v>712</v>
      </c>
    </row>
    <row r="42" ht="14.25">
      <c r="A42" s="7" t="s">
        <v>11</v>
      </c>
      <c r="B42" s="7">
        <v>2017</v>
      </c>
      <c r="C42" s="6" t="str">
        <f t="shared" si="7"/>
        <v xml:space="preserve">Prince Edward Island-2017</v>
      </c>
      <c r="D42" s="6">
        <v>810</v>
      </c>
    </row>
    <row r="43" ht="14.25">
      <c r="A43" s="7" t="s">
        <v>11</v>
      </c>
      <c r="B43" s="7">
        <v>2018</v>
      </c>
      <c r="C43" s="6" t="str">
        <f t="shared" si="7"/>
        <v xml:space="preserve">Prince Edward Island-2018</v>
      </c>
      <c r="D43" s="6">
        <v>792</v>
      </c>
    </row>
    <row r="44" ht="14.25">
      <c r="A44" s="7" t="s">
        <v>11</v>
      </c>
      <c r="B44" s="7">
        <v>2019</v>
      </c>
      <c r="C44" s="6" t="str">
        <f t="shared" si="7"/>
        <v xml:space="preserve">Prince Edward Island-2019</v>
      </c>
      <c r="D44" s="6">
        <v>804</v>
      </c>
    </row>
    <row r="45" ht="14.25">
      <c r="A45" s="7" t="s">
        <v>11</v>
      </c>
      <c r="B45" s="7">
        <v>2020</v>
      </c>
      <c r="C45" s="6" t="str">
        <f t="shared" si="7"/>
        <v xml:space="preserve">Prince Edward Island-2020</v>
      </c>
      <c r="D45" s="6">
        <v>644</v>
      </c>
    </row>
    <row r="46" ht="14.25">
      <c r="A46" s="7" t="s">
        <v>11</v>
      </c>
      <c r="B46" s="7">
        <v>2021</v>
      </c>
      <c r="C46" s="6" t="str">
        <f t="shared" si="7"/>
        <v xml:space="preserve">Prince Edward Island-2021</v>
      </c>
      <c r="D46" s="6">
        <v>652</v>
      </c>
    </row>
    <row r="47" ht="14.25">
      <c r="A47" s="7" t="s">
        <v>11</v>
      </c>
      <c r="B47" s="7">
        <v>2022</v>
      </c>
      <c r="C47" s="6" t="str">
        <f t="shared" si="7"/>
        <v xml:space="preserve">Prince Edward Island-2022</v>
      </c>
      <c r="D47" s="6">
        <v>688</v>
      </c>
    </row>
    <row r="48" ht="14.25">
      <c r="A48" s="7" t="s">
        <v>11</v>
      </c>
      <c r="B48" s="7">
        <v>2023</v>
      </c>
      <c r="C48" s="6" t="str">
        <f t="shared" si="7"/>
        <v xml:space="preserve">Prince Edward Island-2023</v>
      </c>
      <c r="D48" s="6">
        <v>714</v>
      </c>
    </row>
    <row r="49" ht="14.25">
      <c r="A49" s="7" t="s">
        <v>11</v>
      </c>
      <c r="B49" s="7">
        <v>2024</v>
      </c>
      <c r="C49" s="6" t="str">
        <f t="shared" si="7"/>
        <v xml:space="preserve">Prince Edward Island-2024</v>
      </c>
      <c r="D49" s="6">
        <v>708</v>
      </c>
    </row>
    <row r="50" ht="14.25">
      <c r="A50" t="s">
        <v>12</v>
      </c>
      <c r="B50" s="7">
        <v>2001</v>
      </c>
      <c r="C50" s="6" t="str">
        <f t="shared" si="7"/>
        <v xml:space="preserve">Nova Scotia-2001</v>
      </c>
      <c r="D50" s="6">
        <v>5582</v>
      </c>
    </row>
    <row r="51" ht="14.25">
      <c r="A51" t="s">
        <v>12</v>
      </c>
      <c r="B51" s="7">
        <v>2002</v>
      </c>
      <c r="C51" s="6" t="str">
        <f t="shared" si="7"/>
        <v xml:space="preserve">Nova Scotia-2002</v>
      </c>
      <c r="D51" s="6">
        <v>5644</v>
      </c>
    </row>
    <row r="52" ht="14.25">
      <c r="A52" t="s">
        <v>12</v>
      </c>
      <c r="B52" s="7">
        <v>2003</v>
      </c>
      <c r="C52" s="6" t="str">
        <f t="shared" si="7"/>
        <v xml:space="preserve">Nova Scotia-2003</v>
      </c>
      <c r="D52" s="6">
        <v>6038</v>
      </c>
    </row>
    <row r="53" ht="14.25">
      <c r="A53" t="s">
        <v>12</v>
      </c>
      <c r="B53" s="7">
        <v>2004</v>
      </c>
      <c r="C53" s="6" t="str">
        <f t="shared" si="7"/>
        <v xml:space="preserve">Nova Scotia-2004</v>
      </c>
      <c r="D53" s="6">
        <v>5744</v>
      </c>
    </row>
    <row r="54" ht="14.25">
      <c r="A54" t="s">
        <v>12</v>
      </c>
      <c r="B54" s="7">
        <v>2005</v>
      </c>
      <c r="C54" s="6" t="str">
        <f t="shared" si="7"/>
        <v xml:space="preserve">Nova Scotia-2005</v>
      </c>
      <c r="D54" s="6">
        <v>5692</v>
      </c>
    </row>
    <row r="55" ht="14.25">
      <c r="A55" t="s">
        <v>12</v>
      </c>
      <c r="B55" s="7">
        <v>2006</v>
      </c>
      <c r="C55" s="6" t="str">
        <f t="shared" si="7"/>
        <v xml:space="preserve">Nova Scotia-2006</v>
      </c>
      <c r="D55" s="6">
        <v>5458</v>
      </c>
    </row>
    <row r="56" ht="14.25">
      <c r="A56" t="s">
        <v>12</v>
      </c>
      <c r="B56" s="7">
        <v>2007</v>
      </c>
      <c r="C56" s="6" t="str">
        <f t="shared" si="7"/>
        <v xml:space="preserve">Nova Scotia-2007</v>
      </c>
      <c r="D56" s="6">
        <v>5460</v>
      </c>
    </row>
    <row r="57" ht="14.25">
      <c r="A57" t="s">
        <v>12</v>
      </c>
      <c r="B57" s="7">
        <v>2008</v>
      </c>
      <c r="C57" s="6" t="str">
        <f t="shared" si="7"/>
        <v xml:space="preserve">Nova Scotia-2008</v>
      </c>
      <c r="D57" s="6">
        <v>5326</v>
      </c>
    </row>
    <row r="58" ht="14.25">
      <c r="A58" t="s">
        <v>12</v>
      </c>
      <c r="B58" s="7">
        <v>2009</v>
      </c>
      <c r="C58" s="6" t="str">
        <f t="shared" si="7"/>
        <v xml:space="preserve">Nova Scotia-2009</v>
      </c>
      <c r="D58" s="6">
        <v>5220</v>
      </c>
    </row>
    <row r="59" ht="14.25">
      <c r="A59" t="s">
        <v>12</v>
      </c>
      <c r="B59" s="7">
        <v>2010</v>
      </c>
      <c r="C59" s="6" t="str">
        <f t="shared" si="7"/>
        <v xml:space="preserve">Nova Scotia-2010</v>
      </c>
      <c r="D59" s="6">
        <v>5214</v>
      </c>
    </row>
    <row r="60" ht="14.25">
      <c r="A60" t="s">
        <v>12</v>
      </c>
      <c r="B60" s="7">
        <v>2011</v>
      </c>
      <c r="C60" s="6" t="str">
        <f t="shared" si="7"/>
        <v xml:space="preserve">Nova Scotia-2011</v>
      </c>
      <c r="D60" s="6">
        <v>5222</v>
      </c>
    </row>
    <row r="61" ht="14.25">
      <c r="A61" t="s">
        <v>12</v>
      </c>
      <c r="B61" s="7">
        <v>2012</v>
      </c>
      <c r="C61" s="6" t="str">
        <f t="shared" si="7"/>
        <v xml:space="preserve">Nova Scotia-2012</v>
      </c>
      <c r="D61" s="6">
        <v>5048</v>
      </c>
    </row>
    <row r="62" ht="14.25">
      <c r="A62" t="s">
        <v>12</v>
      </c>
      <c r="B62" s="7">
        <v>2013</v>
      </c>
      <c r="C62" s="6" t="str">
        <f t="shared" si="7"/>
        <v xml:space="preserve">Nova Scotia-2013</v>
      </c>
      <c r="D62" s="6">
        <v>5236</v>
      </c>
    </row>
    <row r="63" ht="14.25">
      <c r="A63" t="s">
        <v>12</v>
      </c>
      <c r="B63" s="7">
        <v>2014</v>
      </c>
      <c r="C63" s="6" t="str">
        <f t="shared" si="7"/>
        <v xml:space="preserve">Nova Scotia-2014</v>
      </c>
      <c r="D63" s="6">
        <v>5192</v>
      </c>
    </row>
    <row r="64" ht="14.25">
      <c r="A64" t="s">
        <v>12</v>
      </c>
      <c r="B64" s="7">
        <v>2015</v>
      </c>
      <c r="C64" s="6" t="str">
        <f t="shared" si="7"/>
        <v xml:space="preserve">Nova Scotia-2015</v>
      </c>
      <c r="D64" s="6">
        <v>5654</v>
      </c>
    </row>
    <row r="65" ht="14.25">
      <c r="A65" t="s">
        <v>12</v>
      </c>
      <c r="B65" s="7">
        <v>2016</v>
      </c>
      <c r="C65" s="6" t="str">
        <f t="shared" si="7"/>
        <v xml:space="preserve">Nova Scotia-2016</v>
      </c>
      <c r="D65" s="6">
        <v>5190</v>
      </c>
    </row>
    <row r="66" ht="14.25">
      <c r="A66" t="s">
        <v>12</v>
      </c>
      <c r="B66" s="7">
        <v>2017</v>
      </c>
      <c r="C66" s="6" t="str">
        <f t="shared" si="7"/>
        <v xml:space="preserve">Nova Scotia-2017</v>
      </c>
      <c r="D66" s="6">
        <v>5314</v>
      </c>
    </row>
    <row r="67" ht="14.25">
      <c r="A67" t="s">
        <v>12</v>
      </c>
      <c r="B67" s="7">
        <v>2018</v>
      </c>
      <c r="C67" s="6" t="str">
        <f t="shared" si="7"/>
        <v xml:space="preserve">Nova Scotia-2018</v>
      </c>
      <c r="D67" s="6">
        <v>5602</v>
      </c>
    </row>
    <row r="68" ht="14.25">
      <c r="A68" t="s">
        <v>12</v>
      </c>
      <c r="B68" s="7">
        <v>2019</v>
      </c>
      <c r="C68" s="6" t="str">
        <f t="shared" si="7"/>
        <v xml:space="preserve">Nova Scotia-2019</v>
      </c>
      <c r="D68" s="6">
        <v>5524</v>
      </c>
    </row>
    <row r="69" ht="14.25">
      <c r="A69" t="s">
        <v>12</v>
      </c>
      <c r="B69" s="7">
        <v>2020</v>
      </c>
      <c r="C69" s="6" t="str">
        <f t="shared" si="7"/>
        <v xml:space="preserve">Nova Scotia-2020</v>
      </c>
      <c r="D69" s="6">
        <v>5428</v>
      </c>
    </row>
    <row r="70" ht="14.25">
      <c r="A70" t="s">
        <v>12</v>
      </c>
      <c r="B70" s="7">
        <v>2021</v>
      </c>
      <c r="C70" s="6" t="str">
        <f t="shared" si="7"/>
        <v xml:space="preserve">Nova Scotia-2021</v>
      </c>
      <c r="D70" s="6">
        <v>5476</v>
      </c>
    </row>
    <row r="71" ht="14.25">
      <c r="A71" t="s">
        <v>12</v>
      </c>
      <c r="B71" s="7">
        <v>2022</v>
      </c>
      <c r="C71" s="6" t="str">
        <f t="shared" si="7"/>
        <v xml:space="preserve">Nova Scotia-2022</v>
      </c>
      <c r="D71" s="6">
        <v>5700</v>
      </c>
    </row>
    <row r="72" ht="14.25">
      <c r="A72" t="s">
        <v>12</v>
      </c>
      <c r="B72" s="7">
        <v>2023</v>
      </c>
      <c r="C72" s="6" t="str">
        <f t="shared" si="7"/>
        <v xml:space="preserve">Nova Scotia-2023</v>
      </c>
      <c r="D72" s="6">
        <v>5046</v>
      </c>
    </row>
    <row r="73" ht="14.25">
      <c r="A73" t="s">
        <v>12</v>
      </c>
      <c r="B73" s="7">
        <v>2024</v>
      </c>
      <c r="C73" s="6" t="str">
        <f t="shared" si="7"/>
        <v xml:space="preserve">Nova Scotia-2024</v>
      </c>
      <c r="D73" s="6">
        <v>5436</v>
      </c>
    </row>
    <row r="74" ht="14.25">
      <c r="A74" s="7" t="s">
        <v>13</v>
      </c>
      <c r="B74" s="7">
        <v>2001</v>
      </c>
      <c r="C74" s="6" t="str">
        <f t="shared" ref="C74:C99" si="8">A74&amp;"-"&amp;B74</f>
        <v xml:space="preserve">New Brunswick-2001</v>
      </c>
      <c r="D74" s="6">
        <v>4266</v>
      </c>
    </row>
    <row r="75" ht="14.25">
      <c r="A75" s="7" t="s">
        <v>13</v>
      </c>
      <c r="B75" s="7">
        <v>2002</v>
      </c>
      <c r="C75" s="6" t="str">
        <f t="shared" si="8"/>
        <v xml:space="preserve">New Brunswick-2002</v>
      </c>
      <c r="D75" s="6">
        <v>4174</v>
      </c>
    </row>
    <row r="76" ht="14.25">
      <c r="A76" s="7" t="s">
        <v>13</v>
      </c>
      <c r="B76" s="7">
        <v>2003</v>
      </c>
      <c r="C76" s="6" t="str">
        <f t="shared" si="8"/>
        <v xml:space="preserve">New Brunswick-2003</v>
      </c>
      <c r="D76" s="6">
        <v>4464</v>
      </c>
    </row>
    <row r="77" ht="14.25">
      <c r="A77" s="7" t="s">
        <v>13</v>
      </c>
      <c r="B77" s="7">
        <v>2004</v>
      </c>
      <c r="C77" s="6" t="str">
        <f t="shared" si="8"/>
        <v xml:space="preserve">New Brunswick-2004</v>
      </c>
      <c r="D77" s="6">
        <v>4456</v>
      </c>
    </row>
    <row r="78" ht="14.25">
      <c r="A78" s="7" t="s">
        <v>13</v>
      </c>
      <c r="B78" s="7">
        <v>2005</v>
      </c>
      <c r="C78" s="6" t="str">
        <f t="shared" si="8"/>
        <v xml:space="preserve">New Brunswick-2005</v>
      </c>
      <c r="D78" s="6">
        <v>4082</v>
      </c>
    </row>
    <row r="79" ht="14.25">
      <c r="A79" s="7" t="s">
        <v>13</v>
      </c>
      <c r="B79" s="7">
        <v>2006</v>
      </c>
      <c r="C79" s="6" t="str">
        <f t="shared" si="8"/>
        <v xml:space="preserve">New Brunswick-2006</v>
      </c>
      <c r="D79" s="6">
        <v>3718</v>
      </c>
    </row>
    <row r="80" ht="14.25">
      <c r="A80" s="7" t="s">
        <v>13</v>
      </c>
      <c r="B80" s="7">
        <v>2007</v>
      </c>
      <c r="C80" s="6" t="str">
        <f t="shared" si="8"/>
        <v xml:space="preserve">New Brunswick-2007</v>
      </c>
      <c r="D80" s="6">
        <v>3782</v>
      </c>
    </row>
    <row r="81" ht="14.25">
      <c r="A81" s="7" t="s">
        <v>13</v>
      </c>
      <c r="B81" s="7">
        <v>2008</v>
      </c>
      <c r="C81" s="6" t="str">
        <f t="shared" si="8"/>
        <v xml:space="preserve">New Brunswick-2008</v>
      </c>
      <c r="D81" s="6">
        <v>3740</v>
      </c>
    </row>
    <row r="82" ht="14.25">
      <c r="A82" s="7" t="s">
        <v>13</v>
      </c>
      <c r="B82" s="7">
        <v>2009</v>
      </c>
      <c r="C82" s="6" t="str">
        <f t="shared" si="8"/>
        <v xml:space="preserve">New Brunswick-2009</v>
      </c>
      <c r="D82" s="6">
        <v>3636</v>
      </c>
    </row>
    <row r="83" ht="14.25">
      <c r="A83" s="7" t="s">
        <v>13</v>
      </c>
      <c r="B83" s="7">
        <v>2010</v>
      </c>
      <c r="C83" s="6" t="str">
        <f t="shared" si="8"/>
        <v xml:space="preserve">New Brunswick-2010</v>
      </c>
      <c r="D83" s="6">
        <v>3590</v>
      </c>
    </row>
    <row r="84" ht="14.25">
      <c r="A84" s="7" t="s">
        <v>13</v>
      </c>
      <c r="B84" s="7">
        <v>2011</v>
      </c>
      <c r="C84" s="6" t="str">
        <f t="shared" si="8"/>
        <v xml:space="preserve">New Brunswick-2011</v>
      </c>
      <c r="D84" s="6">
        <v>3794</v>
      </c>
    </row>
    <row r="85" ht="14.25">
      <c r="A85" s="7" t="s">
        <v>13</v>
      </c>
      <c r="B85" s="7">
        <v>2012</v>
      </c>
      <c r="C85" s="6" t="str">
        <f t="shared" si="8"/>
        <v xml:space="preserve">New Brunswick-2012</v>
      </c>
      <c r="D85" s="6">
        <v>3686</v>
      </c>
    </row>
    <row r="86" ht="14.25">
      <c r="A86" s="7" t="s">
        <v>13</v>
      </c>
      <c r="B86" s="7">
        <v>2013</v>
      </c>
      <c r="C86" s="6" t="str">
        <f t="shared" si="8"/>
        <v xml:space="preserve">New Brunswick-2013</v>
      </c>
      <c r="D86" s="6">
        <v>3776</v>
      </c>
    </row>
    <row r="87" ht="14.25">
      <c r="A87" s="7" t="s">
        <v>13</v>
      </c>
      <c r="B87" s="7">
        <v>2014</v>
      </c>
      <c r="C87" s="6" t="str">
        <f t="shared" si="8"/>
        <v xml:space="preserve">New Brunswick-2014</v>
      </c>
      <c r="D87" s="6">
        <v>3872</v>
      </c>
    </row>
    <row r="88" ht="14.25">
      <c r="A88" s="7" t="s">
        <v>13</v>
      </c>
      <c r="B88" s="7">
        <v>2015</v>
      </c>
      <c r="C88" s="6" t="str">
        <f t="shared" si="8"/>
        <v xml:space="preserve">New Brunswick-2015</v>
      </c>
      <c r="D88" s="6">
        <v>4066</v>
      </c>
    </row>
    <row r="89" ht="14.25">
      <c r="A89" s="7" t="s">
        <v>13</v>
      </c>
      <c r="B89" s="7">
        <v>2016</v>
      </c>
      <c r="C89" s="6" t="str">
        <f t="shared" si="8"/>
        <v xml:space="preserve">New Brunswick-2016</v>
      </c>
      <c r="D89" s="6">
        <v>3756</v>
      </c>
    </row>
    <row r="90" ht="14.25">
      <c r="A90" s="7" t="s">
        <v>13</v>
      </c>
      <c r="B90" s="7">
        <v>2017</v>
      </c>
      <c r="C90" s="6" t="str">
        <f t="shared" si="8"/>
        <v xml:space="preserve">New Brunswick-2017</v>
      </c>
      <c r="D90" s="6">
        <v>3994</v>
      </c>
    </row>
    <row r="91" ht="14.25">
      <c r="A91" s="7" t="s">
        <v>13</v>
      </c>
      <c r="B91" s="7">
        <v>2018</v>
      </c>
      <c r="C91" s="6" t="str">
        <f t="shared" si="8"/>
        <v xml:space="preserve">New Brunswick-2018</v>
      </c>
      <c r="D91" s="6">
        <v>3962</v>
      </c>
    </row>
    <row r="92" ht="14.25">
      <c r="A92" s="7" t="s">
        <v>13</v>
      </c>
      <c r="B92" s="7">
        <v>2019</v>
      </c>
      <c r="C92" s="6" t="str">
        <f t="shared" si="8"/>
        <v xml:space="preserve">New Brunswick-2019</v>
      </c>
      <c r="D92" s="6">
        <v>3872</v>
      </c>
    </row>
    <row r="93" ht="14.25">
      <c r="A93" s="7" t="s">
        <v>13</v>
      </c>
      <c r="B93" s="7">
        <v>2020</v>
      </c>
      <c r="C93" s="6" t="str">
        <f t="shared" si="8"/>
        <v xml:space="preserve">New Brunswick-2020</v>
      </c>
      <c r="D93" s="6">
        <v>3568</v>
      </c>
    </row>
    <row r="94" ht="14.25">
      <c r="A94" s="7" t="s">
        <v>13</v>
      </c>
      <c r="B94" s="7">
        <v>2021</v>
      </c>
      <c r="C94" s="6" t="str">
        <f t="shared" si="8"/>
        <v xml:space="preserve">New Brunswick-2021</v>
      </c>
      <c r="D94" s="6">
        <v>3852</v>
      </c>
    </row>
    <row r="95" ht="14.25">
      <c r="A95" s="7" t="s">
        <v>13</v>
      </c>
      <c r="B95" s="7">
        <v>2022</v>
      </c>
      <c r="C95" s="6" t="str">
        <f t="shared" si="8"/>
        <v xml:space="preserve">New Brunswick-2022</v>
      </c>
      <c r="D95" s="6">
        <v>4056</v>
      </c>
    </row>
    <row r="96" ht="14.25">
      <c r="A96" s="7" t="s">
        <v>13</v>
      </c>
      <c r="B96" s="7">
        <v>2023</v>
      </c>
      <c r="C96" s="6" t="str">
        <f t="shared" si="8"/>
        <v xml:space="preserve">New Brunswick-2023</v>
      </c>
      <c r="D96" s="6">
        <v>3948</v>
      </c>
    </row>
    <row r="97" ht="14.25">
      <c r="A97" s="7" t="s">
        <v>13</v>
      </c>
      <c r="B97" s="7">
        <v>2024</v>
      </c>
      <c r="C97" s="6" t="str">
        <f t="shared" si="8"/>
        <v xml:space="preserve">New Brunswick-2024</v>
      </c>
      <c r="D97" s="6">
        <v>3482</v>
      </c>
    </row>
    <row r="98" ht="14.25">
      <c r="A98" s="7" t="s">
        <v>14</v>
      </c>
      <c r="B98" s="7">
        <v>2001</v>
      </c>
      <c r="C98" s="6" t="str">
        <f t="shared" si="8"/>
        <v>Quebec-2001</v>
      </c>
      <c r="D98" s="6">
        <v>36992</v>
      </c>
    </row>
    <row r="99" ht="14.25">
      <c r="A99" s="7" t="s">
        <v>14</v>
      </c>
      <c r="B99" s="7">
        <v>2002</v>
      </c>
      <c r="C99" s="6" t="str">
        <f t="shared" si="8"/>
        <v>Quebec-2002</v>
      </c>
      <c r="D99" s="6">
        <v>37014</v>
      </c>
    </row>
    <row r="100" ht="14.25">
      <c r="A100" s="7" t="s">
        <v>14</v>
      </c>
      <c r="B100" s="7">
        <v>2003</v>
      </c>
      <c r="C100" s="6" t="str">
        <f t="shared" ref="C100:C163" si="9">A100&amp;"-"&amp;B100</f>
        <v>Quebec-2003</v>
      </c>
      <c r="D100" s="6">
        <v>36170</v>
      </c>
    </row>
    <row r="101" ht="14.25">
      <c r="A101" s="7" t="s">
        <v>14</v>
      </c>
      <c r="B101" s="7">
        <v>2004</v>
      </c>
      <c r="C101" s="6" t="str">
        <f t="shared" si="9"/>
        <v>Quebec-2004</v>
      </c>
      <c r="D101" s="6">
        <v>35944</v>
      </c>
    </row>
    <row r="102" ht="14.25">
      <c r="A102" s="7" t="s">
        <v>14</v>
      </c>
      <c r="B102" s="7">
        <v>2005</v>
      </c>
      <c r="C102" s="6" t="str">
        <f t="shared" si="9"/>
        <v>Quebec-2005</v>
      </c>
      <c r="D102" s="6">
        <v>35478</v>
      </c>
    </row>
    <row r="103" ht="14.25">
      <c r="A103" s="7" t="s">
        <v>14</v>
      </c>
      <c r="B103" s="7">
        <v>2006</v>
      </c>
      <c r="C103" s="6" t="str">
        <f t="shared" si="9"/>
        <v>Quebec-2006</v>
      </c>
      <c r="D103" s="6">
        <v>33984</v>
      </c>
    </row>
    <row r="104" ht="14.25">
      <c r="A104" s="7" t="s">
        <v>14</v>
      </c>
      <c r="B104" s="7">
        <v>2007</v>
      </c>
      <c r="C104" s="6" t="str">
        <f t="shared" si="9"/>
        <v>Quebec-2007</v>
      </c>
      <c r="D104" s="6">
        <v>34816</v>
      </c>
    </row>
    <row r="105" ht="14.25">
      <c r="A105" s="7" t="s">
        <v>14</v>
      </c>
      <c r="B105" s="7">
        <v>2008</v>
      </c>
      <c r="C105" s="6" t="str">
        <f t="shared" si="9"/>
        <v>Quebec-2008</v>
      </c>
      <c r="D105" s="6">
        <v>34832</v>
      </c>
    </row>
    <row r="106" ht="14.25">
      <c r="A106" s="7" t="s">
        <v>14</v>
      </c>
      <c r="B106" s="7">
        <v>2009</v>
      </c>
      <c r="C106" s="6" t="str">
        <f t="shared" si="9"/>
        <v>Quebec-2009</v>
      </c>
      <c r="D106" s="6">
        <v>34682</v>
      </c>
    </row>
    <row r="107" ht="14.25">
      <c r="A107" s="7" t="s">
        <v>14</v>
      </c>
      <c r="B107" s="7">
        <v>2010</v>
      </c>
      <c r="C107" s="6" t="str">
        <f t="shared" si="9"/>
        <v>Quebec-2010</v>
      </c>
      <c r="D107" s="6">
        <v>34440</v>
      </c>
    </row>
    <row r="108" ht="14.25">
      <c r="A108" s="7" t="s">
        <v>14</v>
      </c>
      <c r="B108" s="7">
        <v>2011</v>
      </c>
      <c r="C108" s="6" t="str">
        <f t="shared" si="9"/>
        <v>Quebec-2011</v>
      </c>
      <c r="D108" s="6">
        <v>33936</v>
      </c>
    </row>
    <row r="109" ht="14.25">
      <c r="A109" s="7" t="s">
        <v>14</v>
      </c>
      <c r="B109" s="7">
        <v>2012</v>
      </c>
      <c r="C109" s="6" t="str">
        <f t="shared" si="9"/>
        <v>Quebec-2012</v>
      </c>
      <c r="D109" s="6">
        <v>34196</v>
      </c>
    </row>
    <row r="110" ht="14.25">
      <c r="A110" s="7" t="s">
        <v>14</v>
      </c>
      <c r="B110" s="7">
        <v>2013</v>
      </c>
      <c r="C110" s="6" t="str">
        <f t="shared" si="9"/>
        <v>Quebec-2013</v>
      </c>
      <c r="D110" s="6">
        <v>35354</v>
      </c>
    </row>
    <row r="111" ht="14.25">
      <c r="A111" s="7" t="s">
        <v>14</v>
      </c>
      <c r="B111" s="7">
        <v>2014</v>
      </c>
      <c r="C111" s="6" t="str">
        <f t="shared" si="9"/>
        <v>Quebec-2014</v>
      </c>
      <c r="D111" s="6">
        <v>35624</v>
      </c>
    </row>
    <row r="112" ht="14.25">
      <c r="A112" s="7" t="s">
        <v>14</v>
      </c>
      <c r="B112" s="7">
        <v>2015</v>
      </c>
      <c r="C112" s="6" t="str">
        <f t="shared" si="9"/>
        <v>Quebec-2015</v>
      </c>
      <c r="D112" s="6">
        <v>36548</v>
      </c>
    </row>
    <row r="113" ht="14.25">
      <c r="A113" s="7" t="s">
        <v>14</v>
      </c>
      <c r="B113" s="7">
        <v>2016</v>
      </c>
      <c r="C113" s="6" t="str">
        <f t="shared" si="9"/>
        <v>Quebec-2016</v>
      </c>
      <c r="D113" s="6">
        <v>34018</v>
      </c>
    </row>
    <row r="114" ht="14.25">
      <c r="A114" s="7" t="s">
        <v>14</v>
      </c>
      <c r="B114" s="7">
        <v>2017</v>
      </c>
      <c r="C114" s="6" t="str">
        <f t="shared" si="9"/>
        <v>Quebec-2017</v>
      </c>
      <c r="D114" s="6">
        <v>35320</v>
      </c>
    </row>
    <row r="115" ht="14.25">
      <c r="A115" s="7" t="s">
        <v>14</v>
      </c>
      <c r="B115" s="7">
        <v>2018</v>
      </c>
      <c r="C115" s="6" t="str">
        <f t="shared" si="9"/>
        <v>Quebec-2018</v>
      </c>
      <c r="D115" s="6">
        <v>36770</v>
      </c>
    </row>
    <row r="116" ht="14.25">
      <c r="A116" s="7" t="s">
        <v>14</v>
      </c>
      <c r="B116" s="7">
        <v>2019</v>
      </c>
      <c r="C116" s="6" t="str">
        <f t="shared" si="9"/>
        <v>Quebec-2019</v>
      </c>
      <c r="D116" s="6">
        <v>34548</v>
      </c>
    </row>
    <row r="117" ht="14.25">
      <c r="A117" s="7" t="s">
        <v>14</v>
      </c>
      <c r="B117" s="7">
        <v>2020</v>
      </c>
      <c r="C117" s="6" t="str">
        <f t="shared" si="9"/>
        <v>Quebec-2020</v>
      </c>
      <c r="D117" s="6">
        <v>34694</v>
      </c>
    </row>
    <row r="118" ht="14.25">
      <c r="A118" s="7" t="s">
        <v>14</v>
      </c>
      <c r="B118" s="7">
        <v>2021</v>
      </c>
      <c r="C118" s="6" t="str">
        <f t="shared" si="9"/>
        <v>Quebec-2021</v>
      </c>
      <c r="D118" s="6">
        <v>33360</v>
      </c>
    </row>
    <row r="119" ht="14.25">
      <c r="A119" s="7" t="s">
        <v>14</v>
      </c>
      <c r="B119" s="7">
        <v>2022</v>
      </c>
      <c r="C119" s="6" t="str">
        <f t="shared" si="9"/>
        <v>Quebec-2022</v>
      </c>
      <c r="D119" s="6">
        <v>36842</v>
      </c>
    </row>
    <row r="120" ht="14.25">
      <c r="A120" s="7" t="s">
        <v>14</v>
      </c>
      <c r="B120" s="7">
        <v>2023</v>
      </c>
      <c r="C120" s="6" t="str">
        <f t="shared" si="9"/>
        <v>Quebec-2023</v>
      </c>
      <c r="D120" s="6">
        <v>36906</v>
      </c>
    </row>
    <row r="121" ht="14.25">
      <c r="A121" s="7" t="s">
        <v>14</v>
      </c>
      <c r="B121" s="7">
        <v>2024</v>
      </c>
      <c r="C121" s="6" t="str">
        <f t="shared" si="9"/>
        <v>Quebec-2024</v>
      </c>
      <c r="D121" s="6">
        <v>37886</v>
      </c>
    </row>
    <row r="122" ht="14.25">
      <c r="A122" t="s">
        <v>15</v>
      </c>
      <c r="B122" s="2">
        <v>2001</v>
      </c>
      <c r="C122" s="6" t="str">
        <f t="shared" si="9"/>
        <v>Ontario-2001</v>
      </c>
      <c r="D122" s="6">
        <v>64298</v>
      </c>
    </row>
    <row r="123" ht="14.25">
      <c r="A123" t="s">
        <v>15</v>
      </c>
      <c r="B123" s="2">
        <v>2002</v>
      </c>
      <c r="C123" s="6" t="str">
        <f t="shared" si="9"/>
        <v>Ontario-2002</v>
      </c>
      <c r="D123" s="6">
        <v>64912</v>
      </c>
    </row>
    <row r="124" ht="14.25">
      <c r="A124" t="s">
        <v>15</v>
      </c>
      <c r="B124" s="2">
        <v>2003</v>
      </c>
      <c r="C124" s="6" t="str">
        <f t="shared" si="9"/>
        <v>Ontario-2003</v>
      </c>
      <c r="D124" s="6">
        <v>65446</v>
      </c>
    </row>
    <row r="125" ht="14.25">
      <c r="A125" t="s">
        <v>15</v>
      </c>
      <c r="B125" s="2">
        <v>2004</v>
      </c>
      <c r="C125" s="6" t="str">
        <f t="shared" si="9"/>
        <v>Ontario-2004</v>
      </c>
      <c r="D125" s="6">
        <v>63458</v>
      </c>
    </row>
    <row r="126" ht="14.25">
      <c r="A126" t="s">
        <v>15</v>
      </c>
      <c r="B126" s="2">
        <v>2005</v>
      </c>
      <c r="C126" s="6" t="str">
        <f t="shared" si="9"/>
        <v>Ontario-2005</v>
      </c>
      <c r="D126" s="6">
        <v>63752</v>
      </c>
    </row>
    <row r="127" ht="14.25">
      <c r="A127" t="s">
        <v>15</v>
      </c>
      <c r="B127" s="2">
        <v>2006</v>
      </c>
      <c r="C127" s="6" t="str">
        <f t="shared" si="9"/>
        <v>Ontario-2006</v>
      </c>
      <c r="D127" s="6">
        <v>59652</v>
      </c>
    </row>
    <row r="128" ht="14.25">
      <c r="A128" t="s">
        <v>15</v>
      </c>
      <c r="B128" s="2">
        <v>2007</v>
      </c>
      <c r="C128" s="6" t="str">
        <f t="shared" si="9"/>
        <v>Ontario-2007</v>
      </c>
      <c r="D128" s="6">
        <v>60652</v>
      </c>
    </row>
    <row r="129" ht="14.25">
      <c r="A129" t="s">
        <v>15</v>
      </c>
      <c r="B129" s="2">
        <v>2008</v>
      </c>
      <c r="C129" s="6" t="str">
        <f t="shared" si="9"/>
        <v>Ontario-2008</v>
      </c>
      <c r="D129" s="6">
        <v>60188</v>
      </c>
    </row>
    <row r="130" ht="14.25">
      <c r="A130" t="s">
        <v>15</v>
      </c>
      <c r="B130" s="2">
        <v>2009</v>
      </c>
      <c r="C130" s="6" t="str">
        <f t="shared" si="9"/>
        <v>Ontario-2009</v>
      </c>
      <c r="D130" s="6">
        <v>60212</v>
      </c>
    </row>
    <row r="131" ht="14.25">
      <c r="A131" t="s">
        <v>15</v>
      </c>
      <c r="B131" s="2">
        <v>2010</v>
      </c>
      <c r="C131" s="6" t="str">
        <f t="shared" si="9"/>
        <v>Ontario-2010</v>
      </c>
      <c r="D131" s="6">
        <v>58224</v>
      </c>
    </row>
    <row r="132" ht="14.25">
      <c r="A132" t="s">
        <v>15</v>
      </c>
      <c r="B132" s="2">
        <v>2011</v>
      </c>
      <c r="C132" s="6" t="str">
        <f t="shared" si="9"/>
        <v>Ontario-2011</v>
      </c>
      <c r="D132" s="6">
        <v>57848</v>
      </c>
    </row>
    <row r="133" ht="14.25">
      <c r="A133" t="s">
        <v>15</v>
      </c>
      <c r="B133" s="2">
        <v>2012</v>
      </c>
      <c r="C133" s="6" t="str">
        <f t="shared" si="9"/>
        <v>Ontario-2012</v>
      </c>
      <c r="D133" s="6">
        <v>57452</v>
      </c>
    </row>
    <row r="134" ht="14.25">
      <c r="A134" t="s">
        <v>15</v>
      </c>
      <c r="B134" s="2">
        <v>2013</v>
      </c>
      <c r="C134" s="6" t="str">
        <f t="shared" si="9"/>
        <v>Ontario-2013</v>
      </c>
      <c r="D134" s="6">
        <v>58492</v>
      </c>
    </row>
    <row r="135" ht="14.25">
      <c r="A135" t="s">
        <v>15</v>
      </c>
      <c r="B135" s="2">
        <v>2014</v>
      </c>
      <c r="C135" s="6" t="str">
        <f t="shared" si="9"/>
        <v>Ontario-2014</v>
      </c>
      <c r="D135" s="6">
        <v>59802</v>
      </c>
    </row>
    <row r="136" ht="14.25">
      <c r="A136" t="s">
        <v>15</v>
      </c>
      <c r="B136" s="2">
        <v>2015</v>
      </c>
      <c r="C136" s="6" t="str">
        <f t="shared" si="9"/>
        <v>Ontario-2015</v>
      </c>
      <c r="D136" s="6">
        <v>60086</v>
      </c>
    </row>
    <row r="137" ht="14.25">
      <c r="A137" t="s">
        <v>15</v>
      </c>
      <c r="B137" s="2">
        <v>2016</v>
      </c>
      <c r="C137" s="6" t="str">
        <f t="shared" si="9"/>
        <v>Ontario-2016</v>
      </c>
      <c r="D137" s="6">
        <v>59366</v>
      </c>
    </row>
    <row r="138" ht="14.25">
      <c r="A138" t="s">
        <v>15</v>
      </c>
      <c r="B138" s="2">
        <v>2017</v>
      </c>
      <c r="C138" s="6" t="str">
        <f t="shared" si="9"/>
        <v>Ontario-2017</v>
      </c>
      <c r="D138" s="6">
        <v>60696</v>
      </c>
    </row>
    <row r="139" ht="14.25">
      <c r="A139" t="s">
        <v>15</v>
      </c>
      <c r="B139" s="2">
        <v>2018</v>
      </c>
      <c r="C139" s="6" t="str">
        <f t="shared" si="9"/>
        <v>Ontario-2018</v>
      </c>
      <c r="D139" s="6">
        <v>61104</v>
      </c>
    </row>
    <row r="140" ht="14.25">
      <c r="A140" t="s">
        <v>15</v>
      </c>
      <c r="B140" s="2">
        <v>2019</v>
      </c>
      <c r="C140" s="6" t="str">
        <f t="shared" si="9"/>
        <v>Ontario-2019</v>
      </c>
      <c r="D140" s="6">
        <v>60134</v>
      </c>
    </row>
    <row r="141" ht="14.25">
      <c r="A141" t="s">
        <v>15</v>
      </c>
      <c r="B141" s="2">
        <v>2020</v>
      </c>
      <c r="C141" s="6" t="str">
        <f t="shared" si="9"/>
        <v>Ontario-2020</v>
      </c>
      <c r="D141" s="6">
        <v>62180</v>
      </c>
    </row>
    <row r="142" ht="14.25">
      <c r="A142" t="s">
        <v>15</v>
      </c>
      <c r="B142" s="2">
        <v>2021</v>
      </c>
      <c r="C142" s="6" t="str">
        <f t="shared" si="9"/>
        <v>Ontario-2021</v>
      </c>
      <c r="D142" s="6">
        <v>59742</v>
      </c>
    </row>
    <row r="143" ht="14.25">
      <c r="A143" t="s">
        <v>15</v>
      </c>
      <c r="B143" s="2">
        <v>2022</v>
      </c>
      <c r="C143" s="6" t="str">
        <f t="shared" si="9"/>
        <v>Ontario-2022</v>
      </c>
      <c r="D143" s="6">
        <v>64568</v>
      </c>
    </row>
    <row r="144" ht="14.25">
      <c r="A144" t="s">
        <v>15</v>
      </c>
      <c r="B144" s="2">
        <v>2023</v>
      </c>
      <c r="C144" s="6" t="str">
        <f t="shared" si="9"/>
        <v>Ontario-2023</v>
      </c>
      <c r="D144" s="6">
        <v>62896</v>
      </c>
    </row>
    <row r="145" ht="14.25">
      <c r="A145" t="s">
        <v>15</v>
      </c>
      <c r="B145" s="2">
        <v>2024</v>
      </c>
      <c r="C145" s="6" t="str">
        <f t="shared" si="9"/>
        <v>Ontario-2024</v>
      </c>
      <c r="D145" s="6">
        <v>63164</v>
      </c>
    </row>
    <row r="146" ht="14.25">
      <c r="A146" s="7" t="s">
        <v>16</v>
      </c>
      <c r="B146" s="2">
        <v>2001</v>
      </c>
      <c r="C146" s="6" t="str">
        <f t="shared" si="9"/>
        <v>Manitoba-2001</v>
      </c>
      <c r="D146" s="6">
        <v>7130</v>
      </c>
    </row>
    <row r="147" ht="14.25">
      <c r="A147" s="7" t="s">
        <v>16</v>
      </c>
      <c r="B147" s="2">
        <v>2002</v>
      </c>
      <c r="C147" s="6" t="str">
        <f t="shared" si="9"/>
        <v>Manitoba-2002</v>
      </c>
      <c r="D147" s="6">
        <v>7498</v>
      </c>
    </row>
    <row r="148" ht="14.25">
      <c r="A148" s="7" t="s">
        <v>16</v>
      </c>
      <c r="B148" s="2">
        <v>2003</v>
      </c>
      <c r="C148" s="6" t="str">
        <f t="shared" si="9"/>
        <v>Manitoba-2003</v>
      </c>
      <c r="D148" s="6">
        <v>7396</v>
      </c>
    </row>
    <row r="149" ht="14.25">
      <c r="A149" s="7" t="s">
        <v>16</v>
      </c>
      <c r="B149" s="2">
        <v>2004</v>
      </c>
      <c r="C149" s="6" t="str">
        <f t="shared" si="9"/>
        <v>Manitoba-2004</v>
      </c>
      <c r="D149" s="6">
        <v>7570</v>
      </c>
    </row>
    <row r="150" ht="14.25">
      <c r="A150" s="7" t="s">
        <v>16</v>
      </c>
      <c r="B150" s="2">
        <v>2005</v>
      </c>
      <c r="C150" s="6" t="str">
        <f t="shared" si="9"/>
        <v>Manitoba-2005</v>
      </c>
      <c r="D150" s="6">
        <v>7182</v>
      </c>
    </row>
    <row r="151" ht="14.25">
      <c r="A151" s="7" t="s">
        <v>16</v>
      </c>
      <c r="B151" s="2">
        <v>2006</v>
      </c>
      <c r="C151" s="6" t="str">
        <f t="shared" si="9"/>
        <v>Manitoba-2006</v>
      </c>
      <c r="D151" s="6">
        <v>7004</v>
      </c>
    </row>
    <row r="152" ht="14.25">
      <c r="A152" s="7" t="s">
        <v>16</v>
      </c>
      <c r="B152" s="2">
        <v>2007</v>
      </c>
      <c r="C152" s="6" t="str">
        <f t="shared" si="9"/>
        <v>Manitoba-2007</v>
      </c>
      <c r="D152" s="6">
        <v>6958</v>
      </c>
    </row>
    <row r="153" ht="14.25">
      <c r="A153" s="7" t="s">
        <v>16</v>
      </c>
      <c r="B153" s="2">
        <v>2008</v>
      </c>
      <c r="C153" s="6" t="str">
        <f t="shared" si="9"/>
        <v>Manitoba-2008</v>
      </c>
      <c r="D153" s="6">
        <v>6984</v>
      </c>
    </row>
    <row r="154" ht="14.25">
      <c r="A154" s="7" t="s">
        <v>16</v>
      </c>
      <c r="B154" s="2">
        <v>2009</v>
      </c>
      <c r="C154" s="6" t="str">
        <f t="shared" si="9"/>
        <v>Manitoba-2009</v>
      </c>
      <c r="D154" s="6">
        <v>6736</v>
      </c>
    </row>
    <row r="155" ht="14.25">
      <c r="A155" s="7" t="s">
        <v>16</v>
      </c>
      <c r="B155" s="2">
        <v>2010</v>
      </c>
      <c r="C155" s="6" t="str">
        <f t="shared" si="9"/>
        <v>Manitoba-2010</v>
      </c>
      <c r="D155" s="6">
        <v>6562</v>
      </c>
    </row>
    <row r="156" ht="14.25">
      <c r="A156" s="7" t="s">
        <v>16</v>
      </c>
      <c r="B156" s="2">
        <v>2011</v>
      </c>
      <c r="C156" s="6" t="str">
        <f t="shared" si="9"/>
        <v>Manitoba-2011</v>
      </c>
      <c r="D156" s="6">
        <v>6574</v>
      </c>
    </row>
    <row r="157" ht="14.25">
      <c r="A157" s="7" t="s">
        <v>16</v>
      </c>
      <c r="B157" s="2">
        <v>2012</v>
      </c>
      <c r="C157" s="6" t="str">
        <f t="shared" si="9"/>
        <v>Manitoba-2012</v>
      </c>
      <c r="D157" s="6">
        <v>6386</v>
      </c>
    </row>
    <row r="158" ht="14.25">
      <c r="A158" s="7" t="s">
        <v>16</v>
      </c>
      <c r="B158" s="2">
        <v>2013</v>
      </c>
      <c r="C158" s="6" t="str">
        <f t="shared" si="9"/>
        <v>Manitoba-2013</v>
      </c>
      <c r="D158" s="6">
        <v>6450</v>
      </c>
    </row>
    <row r="159" ht="14.25">
      <c r="A159" s="7" t="s">
        <v>16</v>
      </c>
      <c r="B159" s="2">
        <v>2014</v>
      </c>
      <c r="C159" s="6" t="str">
        <f t="shared" si="9"/>
        <v>Manitoba-2014</v>
      </c>
      <c r="D159" s="6">
        <v>6746</v>
      </c>
    </row>
    <row r="160" ht="14.25">
      <c r="A160" s="7" t="s">
        <v>16</v>
      </c>
      <c r="B160" s="2">
        <v>2015</v>
      </c>
      <c r="C160" s="6" t="str">
        <f t="shared" si="9"/>
        <v>Manitoba-2015</v>
      </c>
      <c r="D160" s="6">
        <v>6522</v>
      </c>
    </row>
    <row r="161" ht="14.25">
      <c r="A161" s="7" t="s">
        <v>16</v>
      </c>
      <c r="B161" s="2">
        <v>2016</v>
      </c>
      <c r="C161" s="6" t="str">
        <f t="shared" si="9"/>
        <v>Manitoba-2016</v>
      </c>
      <c r="D161" s="6">
        <v>6350</v>
      </c>
    </row>
    <row r="162" ht="14.25">
      <c r="A162" s="7" t="s">
        <v>16</v>
      </c>
      <c r="B162" s="2">
        <v>2017</v>
      </c>
      <c r="C162" s="6" t="str">
        <f t="shared" si="9"/>
        <v>Manitoba-2017</v>
      </c>
      <c r="D162" s="6">
        <v>6676</v>
      </c>
    </row>
    <row r="163" ht="14.25">
      <c r="A163" s="7" t="s">
        <v>16</v>
      </c>
      <c r="B163" s="2">
        <v>2018</v>
      </c>
      <c r="C163" s="6" t="str">
        <f t="shared" si="9"/>
        <v>Manitoba-2018</v>
      </c>
      <c r="D163" s="6">
        <v>5752</v>
      </c>
    </row>
    <row r="164" ht="14.25">
      <c r="A164" s="7" t="s">
        <v>16</v>
      </c>
      <c r="B164" s="2">
        <v>2019</v>
      </c>
      <c r="C164" s="6" t="str">
        <f t="shared" ref="C164:C227" si="10">A164&amp;"-"&amp;B164</f>
        <v>Manitoba-2019</v>
      </c>
      <c r="D164" s="6">
        <v>6388</v>
      </c>
    </row>
    <row r="165" ht="14.25">
      <c r="A165" s="7" t="s">
        <v>16</v>
      </c>
      <c r="B165" s="2">
        <v>2020</v>
      </c>
      <c r="C165" s="6" t="str">
        <f t="shared" si="10"/>
        <v>Manitoba-2020</v>
      </c>
      <c r="D165" s="6">
        <v>5922</v>
      </c>
    </row>
    <row r="166" ht="14.25">
      <c r="A166" s="7" t="s">
        <v>16</v>
      </c>
      <c r="B166" s="2">
        <v>2021</v>
      </c>
      <c r="C166" s="6" t="str">
        <f t="shared" si="10"/>
        <v>Manitoba-2021</v>
      </c>
      <c r="D166" s="6">
        <v>5670</v>
      </c>
    </row>
    <row r="167" ht="14.25">
      <c r="A167" s="7" t="s">
        <v>16</v>
      </c>
      <c r="B167" s="2">
        <v>2022</v>
      </c>
      <c r="C167" s="6" t="str">
        <f t="shared" si="10"/>
        <v>Manitoba-2022</v>
      </c>
      <c r="D167" s="6">
        <v>5878</v>
      </c>
    </row>
    <row r="168" ht="14.25">
      <c r="A168" s="7" t="s">
        <v>16</v>
      </c>
      <c r="B168" s="2">
        <v>2023</v>
      </c>
      <c r="C168" s="6" t="str">
        <f t="shared" si="10"/>
        <v>Manitoba-2023</v>
      </c>
      <c r="D168" s="6">
        <v>6032</v>
      </c>
    </row>
    <row r="169" ht="14.25">
      <c r="A169" s="7" t="s">
        <v>16</v>
      </c>
      <c r="B169" s="2">
        <v>2024</v>
      </c>
      <c r="C169" s="6" t="str">
        <f t="shared" si="10"/>
        <v>Manitoba-2024</v>
      </c>
      <c r="D169" s="6">
        <v>6298</v>
      </c>
    </row>
    <row r="170" ht="14.25">
      <c r="A170" s="7" t="s">
        <v>17</v>
      </c>
      <c r="B170" s="2">
        <v>2001</v>
      </c>
      <c r="C170" s="6" t="str">
        <f t="shared" si="10"/>
        <v>Saskatchewan-2001</v>
      </c>
      <c r="D170" s="6">
        <v>6466</v>
      </c>
    </row>
    <row r="171" ht="14.25">
      <c r="A171" s="7" t="s">
        <v>17</v>
      </c>
      <c r="B171" s="2">
        <v>2002</v>
      </c>
      <c r="C171" s="6" t="str">
        <f t="shared" si="10"/>
        <v>Saskatchewan-2002</v>
      </c>
      <c r="D171" s="6">
        <v>6506</v>
      </c>
    </row>
    <row r="172" ht="14.25">
      <c r="A172" s="7" t="s">
        <v>17</v>
      </c>
      <c r="B172" s="2">
        <v>2003</v>
      </c>
      <c r="C172" s="6" t="str">
        <f t="shared" si="10"/>
        <v>Saskatchewan-2003</v>
      </c>
      <c r="D172" s="6">
        <v>6594</v>
      </c>
    </row>
    <row r="173" ht="14.25">
      <c r="A173" s="7" t="s">
        <v>17</v>
      </c>
      <c r="B173" s="2">
        <v>2004</v>
      </c>
      <c r="C173" s="6" t="str">
        <f t="shared" si="10"/>
        <v>Saskatchewan-2004</v>
      </c>
      <c r="D173" s="6">
        <v>6370</v>
      </c>
    </row>
    <row r="174" ht="14.25">
      <c r="A174" s="7" t="s">
        <v>17</v>
      </c>
      <c r="B174" s="2">
        <v>2005</v>
      </c>
      <c r="C174" s="6" t="str">
        <f t="shared" si="10"/>
        <v>Saskatchewan-2005</v>
      </c>
      <c r="D174" s="6">
        <v>6232</v>
      </c>
    </row>
    <row r="175" ht="14.25">
      <c r="A175" s="7" t="s">
        <v>17</v>
      </c>
      <c r="B175" s="2">
        <v>2006</v>
      </c>
      <c r="C175" s="6" t="str">
        <f t="shared" si="10"/>
        <v>Saskatchewan-2006</v>
      </c>
      <c r="D175" s="6">
        <v>6380</v>
      </c>
    </row>
    <row r="176" ht="14.25">
      <c r="A176" s="7" t="s">
        <v>17</v>
      </c>
      <c r="B176" s="2">
        <v>2007</v>
      </c>
      <c r="C176" s="6" t="str">
        <f t="shared" si="10"/>
        <v>Saskatchewan-2007</v>
      </c>
      <c r="D176" s="6">
        <v>6240</v>
      </c>
    </row>
    <row r="177" ht="14.25">
      <c r="A177" s="7" t="s">
        <v>17</v>
      </c>
      <c r="B177" s="2">
        <v>2008</v>
      </c>
      <c r="C177" s="6" t="str">
        <f t="shared" si="10"/>
        <v>Saskatchewan-2008</v>
      </c>
      <c r="D177" s="6">
        <v>6046</v>
      </c>
    </row>
    <row r="178" ht="14.25">
      <c r="A178" s="7" t="s">
        <v>17</v>
      </c>
      <c r="B178" s="2">
        <v>2009</v>
      </c>
      <c r="C178" s="6" t="str">
        <f t="shared" si="10"/>
        <v>Saskatchewan-2009</v>
      </c>
      <c r="D178" s="6">
        <v>5746</v>
      </c>
    </row>
    <row r="179" ht="14.25">
      <c r="A179" s="7" t="s">
        <v>17</v>
      </c>
      <c r="B179" s="2">
        <v>2010</v>
      </c>
      <c r="C179" s="6" t="str">
        <f t="shared" si="10"/>
        <v>Saskatchewan-2010</v>
      </c>
      <c r="D179" s="6">
        <v>5708</v>
      </c>
    </row>
    <row r="180" ht="14.25">
      <c r="A180" s="7" t="s">
        <v>17</v>
      </c>
      <c r="B180" s="2">
        <v>2011</v>
      </c>
      <c r="C180" s="6" t="str">
        <f t="shared" si="10"/>
        <v>Saskatchewan-2011</v>
      </c>
      <c r="D180" s="6">
        <v>5824</v>
      </c>
    </row>
    <row r="181" ht="14.25">
      <c r="A181" s="7" t="s">
        <v>17</v>
      </c>
      <c r="B181" s="2">
        <v>2012</v>
      </c>
      <c r="C181" s="6" t="str">
        <f t="shared" si="10"/>
        <v>Saskatchewan-2012</v>
      </c>
      <c r="D181" s="6">
        <v>5626</v>
      </c>
    </row>
    <row r="182" ht="14.25">
      <c r="A182" s="7" t="s">
        <v>17</v>
      </c>
      <c r="B182" s="2">
        <v>2013</v>
      </c>
      <c r="C182" s="6" t="str">
        <f t="shared" si="10"/>
        <v>Saskatchewan-2013</v>
      </c>
      <c r="D182" s="6">
        <v>5854</v>
      </c>
    </row>
    <row r="183" ht="14.25">
      <c r="A183" s="7" t="s">
        <v>17</v>
      </c>
      <c r="B183" s="2">
        <v>2014</v>
      </c>
      <c r="C183" s="6" t="str">
        <f t="shared" si="10"/>
        <v>Saskatchewan-2014</v>
      </c>
      <c r="D183" s="6">
        <v>5792</v>
      </c>
    </row>
    <row r="184" ht="14.25">
      <c r="A184" s="7" t="s">
        <v>17</v>
      </c>
      <c r="B184" s="2">
        <v>2015</v>
      </c>
      <c r="C184" s="6" t="str">
        <f t="shared" si="10"/>
        <v>Saskatchewan-2015</v>
      </c>
      <c r="D184" s="6">
        <v>5754</v>
      </c>
    </row>
    <row r="185" ht="14.25">
      <c r="A185" s="7" t="s">
        <v>17</v>
      </c>
      <c r="B185" s="2">
        <v>2016</v>
      </c>
      <c r="C185" s="6" t="str">
        <f t="shared" si="10"/>
        <v>Saskatchewan-2016</v>
      </c>
      <c r="D185" s="6">
        <v>5526</v>
      </c>
    </row>
    <row r="186" ht="14.25">
      <c r="A186" s="7" t="s">
        <v>17</v>
      </c>
      <c r="B186" s="2">
        <v>2017</v>
      </c>
      <c r="C186" s="6" t="str">
        <f t="shared" si="10"/>
        <v>Saskatchewan-2017</v>
      </c>
      <c r="D186" s="6">
        <v>5552</v>
      </c>
    </row>
    <row r="187" ht="14.25">
      <c r="A187" s="7" t="s">
        <v>17</v>
      </c>
      <c r="B187" s="2">
        <v>2018</v>
      </c>
      <c r="C187" s="6" t="str">
        <f t="shared" si="10"/>
        <v>Saskatchewan-2018</v>
      </c>
      <c r="D187" s="6">
        <v>5634</v>
      </c>
    </row>
    <row r="188" ht="14.25">
      <c r="A188" s="7" t="s">
        <v>17</v>
      </c>
      <c r="B188" s="2">
        <v>2019</v>
      </c>
      <c r="C188" s="6" t="str">
        <f t="shared" si="10"/>
        <v>Saskatchewan-2019</v>
      </c>
      <c r="D188" s="6">
        <v>5254</v>
      </c>
    </row>
    <row r="189" ht="14.25">
      <c r="A189" s="7" t="s">
        <v>17</v>
      </c>
      <c r="B189" s="2">
        <v>2020</v>
      </c>
      <c r="C189" s="6" t="str">
        <f t="shared" si="10"/>
        <v>Saskatchewan-2020</v>
      </c>
      <c r="D189" s="6">
        <v>5492</v>
      </c>
    </row>
    <row r="190" ht="14.25">
      <c r="A190" s="7" t="s">
        <v>17</v>
      </c>
      <c r="B190" s="2">
        <v>2021</v>
      </c>
      <c r="C190" s="6" t="str">
        <f t="shared" si="10"/>
        <v>Saskatchewan-2021</v>
      </c>
      <c r="D190" s="6">
        <v>5490</v>
      </c>
    </row>
    <row r="191" ht="14.25">
      <c r="A191" s="7" t="s">
        <v>17</v>
      </c>
      <c r="B191" s="2">
        <v>2022</v>
      </c>
      <c r="C191" s="6" t="str">
        <f t="shared" si="10"/>
        <v>Saskatchewan-2022</v>
      </c>
      <c r="D191" s="6">
        <v>5470</v>
      </c>
    </row>
    <row r="192" ht="14.25">
      <c r="A192" s="7" t="s">
        <v>17</v>
      </c>
      <c r="B192" s="2">
        <v>2023</v>
      </c>
      <c r="C192" s="6" t="str">
        <f t="shared" si="10"/>
        <v>Saskatchewan-2023</v>
      </c>
      <c r="D192" s="6">
        <v>5310</v>
      </c>
    </row>
    <row r="193" ht="14.25">
      <c r="A193" s="7" t="s">
        <v>17</v>
      </c>
      <c r="B193" s="2">
        <v>2024</v>
      </c>
      <c r="C193" s="6" t="str">
        <f t="shared" si="10"/>
        <v>Saskatchewan-2024</v>
      </c>
      <c r="D193" s="6">
        <v>5204</v>
      </c>
    </row>
    <row r="194" ht="14.25">
      <c r="A194" t="s">
        <v>18</v>
      </c>
      <c r="B194" s="2">
        <v>2001</v>
      </c>
      <c r="C194" s="6" t="str">
        <f t="shared" si="10"/>
        <v>Alberta-2001</v>
      </c>
      <c r="D194" s="6">
        <v>13496</v>
      </c>
    </row>
    <row r="195" ht="14.25">
      <c r="A195" t="s">
        <v>18</v>
      </c>
      <c r="B195" s="2">
        <v>2002</v>
      </c>
      <c r="C195" s="6" t="str">
        <f t="shared" si="10"/>
        <v>Alberta-2002</v>
      </c>
      <c r="D195" s="6">
        <v>13846</v>
      </c>
    </row>
    <row r="196" ht="14.25">
      <c r="A196" t="s">
        <v>18</v>
      </c>
      <c r="B196" s="2">
        <v>2003</v>
      </c>
      <c r="C196" s="6" t="str">
        <f t="shared" si="10"/>
        <v>Alberta-2003</v>
      </c>
      <c r="D196" s="6">
        <v>13928</v>
      </c>
    </row>
    <row r="197" ht="14.25">
      <c r="A197" t="s">
        <v>18</v>
      </c>
      <c r="B197" s="2">
        <v>2004</v>
      </c>
      <c r="C197" s="6" t="str">
        <f t="shared" si="10"/>
        <v>Alberta-2004</v>
      </c>
      <c r="D197" s="6">
        <v>13888</v>
      </c>
    </row>
    <row r="198" ht="14.25">
      <c r="A198" t="s">
        <v>18</v>
      </c>
      <c r="B198" s="2">
        <v>2005</v>
      </c>
      <c r="C198" s="6" t="str">
        <f t="shared" si="10"/>
        <v>Alberta-2005</v>
      </c>
      <c r="D198" s="6">
        <v>13984</v>
      </c>
    </row>
    <row r="199" ht="14.25">
      <c r="A199" t="s">
        <v>18</v>
      </c>
      <c r="B199" s="2">
        <v>2006</v>
      </c>
      <c r="C199" s="6" t="str">
        <f t="shared" si="10"/>
        <v>Alberta-2006</v>
      </c>
      <c r="D199" s="6">
        <v>13668</v>
      </c>
    </row>
    <row r="200" ht="14.25">
      <c r="A200" t="s">
        <v>18</v>
      </c>
      <c r="B200" s="2">
        <v>2007</v>
      </c>
      <c r="C200" s="6" t="str">
        <f t="shared" si="10"/>
        <v>Alberta-2007</v>
      </c>
      <c r="D200" s="6">
        <v>13844</v>
      </c>
    </row>
    <row r="201" ht="14.25">
      <c r="A201" t="s">
        <v>18</v>
      </c>
      <c r="B201" s="2">
        <v>2008</v>
      </c>
      <c r="C201" s="6" t="str">
        <f t="shared" si="10"/>
        <v>Alberta-2008</v>
      </c>
      <c r="D201" s="6">
        <v>14356</v>
      </c>
    </row>
    <row r="202" ht="14.25">
      <c r="A202" t="s">
        <v>18</v>
      </c>
      <c r="B202" s="2">
        <v>2009</v>
      </c>
      <c r="C202" s="6" t="str">
        <f t="shared" si="10"/>
        <v>Alberta-2009</v>
      </c>
      <c r="D202" s="6">
        <v>14354</v>
      </c>
    </row>
    <row r="203" ht="14.25">
      <c r="A203" t="s">
        <v>18</v>
      </c>
      <c r="B203" s="2">
        <v>2010</v>
      </c>
      <c r="C203" s="6" t="str">
        <f t="shared" si="10"/>
        <v>Alberta-2010</v>
      </c>
      <c r="D203" s="6">
        <v>13740</v>
      </c>
    </row>
    <row r="204" ht="14.25">
      <c r="A204" t="s">
        <v>18</v>
      </c>
      <c r="B204" s="2">
        <v>2011</v>
      </c>
      <c r="C204" s="6" t="str">
        <f t="shared" si="10"/>
        <v>Alberta-2011</v>
      </c>
      <c r="D204" s="6">
        <v>14146</v>
      </c>
    </row>
    <row r="205" ht="14.25">
      <c r="A205" t="s">
        <v>18</v>
      </c>
      <c r="B205" s="2">
        <v>2012</v>
      </c>
      <c r="C205" s="6" t="str">
        <f t="shared" si="10"/>
        <v>Alberta-2012</v>
      </c>
      <c r="D205" s="6">
        <v>14164</v>
      </c>
    </row>
    <row r="206" ht="14.25">
      <c r="A206" t="s">
        <v>18</v>
      </c>
      <c r="B206" s="2">
        <v>2013</v>
      </c>
      <c r="C206" s="6" t="str">
        <f t="shared" si="10"/>
        <v>Alberta-2013</v>
      </c>
      <c r="D206" s="6">
        <v>14850</v>
      </c>
    </row>
    <row r="207" ht="14.25">
      <c r="A207" t="s">
        <v>18</v>
      </c>
      <c r="B207" s="2">
        <v>2014</v>
      </c>
      <c r="C207" s="6" t="str">
        <f t="shared" si="10"/>
        <v>Alberta-2014</v>
      </c>
      <c r="D207" s="6">
        <v>14748</v>
      </c>
    </row>
    <row r="208" ht="14.25">
      <c r="A208" t="s">
        <v>18</v>
      </c>
      <c r="B208" s="2">
        <v>2015</v>
      </c>
      <c r="C208" s="6" t="str">
        <f t="shared" si="10"/>
        <v>Alberta-2015</v>
      </c>
      <c r="D208" s="6">
        <v>14870</v>
      </c>
    </row>
    <row r="209" ht="14.25">
      <c r="A209" t="s">
        <v>18</v>
      </c>
      <c r="B209" s="2">
        <v>2016</v>
      </c>
      <c r="C209" s="6" t="str">
        <f t="shared" si="10"/>
        <v>Alberta-2016</v>
      </c>
      <c r="D209" s="6">
        <v>14962</v>
      </c>
    </row>
    <row r="210" ht="14.25">
      <c r="A210" t="s">
        <v>18</v>
      </c>
      <c r="B210" s="2">
        <v>2017</v>
      </c>
      <c r="C210" s="6" t="str">
        <f t="shared" si="10"/>
        <v>Alberta-2017</v>
      </c>
      <c r="D210" s="6">
        <v>15152</v>
      </c>
    </row>
    <row r="211" ht="14.25">
      <c r="A211" t="s">
        <v>18</v>
      </c>
      <c r="B211" s="2">
        <v>2018</v>
      </c>
      <c r="C211" s="6" t="str">
        <f t="shared" si="10"/>
        <v>Alberta-2018</v>
      </c>
      <c r="D211" s="6">
        <v>15396</v>
      </c>
    </row>
    <row r="212" ht="14.25">
      <c r="A212" t="s">
        <v>18</v>
      </c>
      <c r="B212" s="2">
        <v>2019</v>
      </c>
      <c r="C212" s="6" t="str">
        <f t="shared" si="10"/>
        <v>Alberta-2019</v>
      </c>
      <c r="D212" s="6">
        <v>15334</v>
      </c>
    </row>
    <row r="213" ht="14.25">
      <c r="A213" t="s">
        <v>18</v>
      </c>
      <c r="B213" s="2">
        <v>2020</v>
      </c>
      <c r="C213" s="6" t="str">
        <f t="shared" si="10"/>
        <v>Alberta-2020</v>
      </c>
      <c r="D213" s="6">
        <v>16118</v>
      </c>
    </row>
    <row r="214" ht="14.25">
      <c r="A214" t="s">
        <v>18</v>
      </c>
      <c r="B214" s="2">
        <v>2021</v>
      </c>
      <c r="C214" s="6" t="str">
        <f t="shared" si="10"/>
        <v>Alberta-2021</v>
      </c>
      <c r="D214" s="6">
        <v>16402</v>
      </c>
    </row>
    <row r="215" ht="14.25">
      <c r="A215" t="s">
        <v>18</v>
      </c>
      <c r="B215" s="2">
        <v>2022</v>
      </c>
      <c r="C215" s="6" t="str">
        <f t="shared" si="10"/>
        <v>Alberta-2022</v>
      </c>
      <c r="D215" s="6">
        <v>17132</v>
      </c>
    </row>
    <row r="216" ht="14.25">
      <c r="A216" t="s">
        <v>18</v>
      </c>
      <c r="B216" s="2">
        <v>2023</v>
      </c>
      <c r="C216" s="6" t="str">
        <f t="shared" si="10"/>
        <v>Alberta-2023</v>
      </c>
      <c r="D216" s="6">
        <v>15582</v>
      </c>
    </row>
    <row r="217" ht="14.25">
      <c r="A217" t="s">
        <v>18</v>
      </c>
      <c r="B217" s="2">
        <v>2024</v>
      </c>
      <c r="C217" s="6" t="str">
        <f t="shared" si="10"/>
        <v>Alberta-2024</v>
      </c>
      <c r="D217" s="6">
        <v>15976</v>
      </c>
    </row>
    <row r="218" ht="14.25">
      <c r="A218" s="7" t="s">
        <v>19</v>
      </c>
      <c r="B218" s="2">
        <v>2001</v>
      </c>
      <c r="C218" s="6" t="str">
        <f t="shared" si="10"/>
        <v xml:space="preserve">British Columbia-2001</v>
      </c>
      <c r="D218" s="6">
        <v>21706</v>
      </c>
    </row>
    <row r="219" ht="14.25">
      <c r="A219" s="7" t="s">
        <v>19</v>
      </c>
      <c r="B219" s="2">
        <v>2002</v>
      </c>
      <c r="C219" s="6" t="str">
        <f t="shared" si="10"/>
        <v xml:space="preserve">British Columbia-2002</v>
      </c>
      <c r="D219" s="6">
        <v>21004</v>
      </c>
    </row>
    <row r="220" ht="14.25">
      <c r="A220" s="7" t="s">
        <v>19</v>
      </c>
      <c r="B220" s="2">
        <v>2003</v>
      </c>
      <c r="C220" s="6" t="str">
        <f t="shared" si="10"/>
        <v xml:space="preserve">British Columbia-2003</v>
      </c>
      <c r="D220" s="6">
        <v>21170</v>
      </c>
    </row>
    <row r="221" ht="14.25">
      <c r="A221" s="7" t="s">
        <v>19</v>
      </c>
      <c r="B221" s="2">
        <v>2004</v>
      </c>
      <c r="C221" s="6" t="str">
        <f t="shared" si="10"/>
        <v xml:space="preserve">British Columbia-2004</v>
      </c>
      <c r="D221" s="6">
        <v>21462</v>
      </c>
    </row>
    <row r="222" ht="14.25">
      <c r="A222" s="7" t="s">
        <v>19</v>
      </c>
      <c r="B222" s="2">
        <v>2005</v>
      </c>
      <c r="C222" s="6" t="str">
        <f t="shared" si="10"/>
        <v xml:space="preserve">British Columbia-2005</v>
      </c>
      <c r="D222" s="6">
        <v>20748</v>
      </c>
    </row>
    <row r="223" ht="14.25">
      <c r="A223" s="7" t="s">
        <v>19</v>
      </c>
      <c r="B223" s="2">
        <v>2006</v>
      </c>
      <c r="C223" s="6" t="str">
        <f t="shared" si="10"/>
        <v xml:space="preserve">British Columbia-2006</v>
      </c>
      <c r="D223" s="6">
        <v>20712</v>
      </c>
    </row>
    <row r="224" ht="14.25">
      <c r="A224" s="7" t="s">
        <v>19</v>
      </c>
      <c r="B224" s="2">
        <v>2007</v>
      </c>
      <c r="C224" s="6" t="str">
        <f t="shared" si="10"/>
        <v xml:space="preserve">British Columbia-2007</v>
      </c>
      <c r="D224" s="6">
        <v>22122</v>
      </c>
    </row>
    <row r="225" ht="14.25">
      <c r="A225" s="7" t="s">
        <v>19</v>
      </c>
      <c r="B225" s="2">
        <v>2008</v>
      </c>
      <c r="C225" s="6" t="str">
        <f t="shared" si="10"/>
        <v xml:space="preserve">British Columbia-2008</v>
      </c>
      <c r="D225" s="6">
        <v>22688</v>
      </c>
    </row>
    <row r="226" ht="14.25">
      <c r="A226" s="7" t="s">
        <v>19</v>
      </c>
      <c r="B226" s="2">
        <v>2009</v>
      </c>
      <c r="C226" s="6" t="str">
        <f t="shared" si="10"/>
        <v xml:space="preserve">British Columbia-2009</v>
      </c>
      <c r="D226" s="6">
        <v>21686</v>
      </c>
    </row>
    <row r="227" ht="14.25">
      <c r="A227" s="7" t="s">
        <v>19</v>
      </c>
      <c r="B227" s="2">
        <v>2010</v>
      </c>
      <c r="C227" s="6" t="str">
        <f t="shared" si="10"/>
        <v xml:space="preserve">British Columbia-2010</v>
      </c>
      <c r="D227" s="6">
        <v>20316</v>
      </c>
    </row>
    <row r="228" ht="14.25">
      <c r="A228" s="7" t="s">
        <v>19</v>
      </c>
      <c r="B228" s="2">
        <v>2011</v>
      </c>
      <c r="C228" s="6" t="str">
        <f t="shared" ref="C228:C241" si="11">A228&amp;"-"&amp;B228</f>
        <v xml:space="preserve">British Columbia-2011</v>
      </c>
      <c r="D228" s="6">
        <v>20150</v>
      </c>
    </row>
    <row r="229" ht="14.25">
      <c r="A229" s="7" t="s">
        <v>19</v>
      </c>
      <c r="B229" s="2">
        <v>2012</v>
      </c>
      <c r="C229" s="6" t="str">
        <f t="shared" si="11"/>
        <v xml:space="preserve">British Columbia-2012</v>
      </c>
      <c r="D229" s="6">
        <v>20358</v>
      </c>
    </row>
    <row r="230" ht="14.25">
      <c r="A230" s="7" t="s">
        <v>19</v>
      </c>
      <c r="B230" s="2">
        <v>2013</v>
      </c>
      <c r="C230" s="6" t="str">
        <f t="shared" si="11"/>
        <v xml:space="preserve">British Columbia-2013</v>
      </c>
      <c r="D230" s="6">
        <v>20860</v>
      </c>
    </row>
    <row r="231" ht="14.25">
      <c r="A231" s="7" t="s">
        <v>19</v>
      </c>
      <c r="B231" s="2">
        <v>2014</v>
      </c>
      <c r="C231" s="6" t="str">
        <f t="shared" si="11"/>
        <v xml:space="preserve">British Columbia-2014</v>
      </c>
      <c r="D231" s="6">
        <v>20762</v>
      </c>
    </row>
    <row r="232" ht="14.25">
      <c r="A232" s="7" t="s">
        <v>19</v>
      </c>
      <c r="B232" s="2">
        <v>2015</v>
      </c>
      <c r="C232" s="6" t="str">
        <f t="shared" si="11"/>
        <v xml:space="preserve">British Columbia-2015</v>
      </c>
      <c r="D232" s="6">
        <v>21364</v>
      </c>
    </row>
    <row r="233" ht="14.25">
      <c r="A233" s="7" t="s">
        <v>19</v>
      </c>
      <c r="B233" s="2">
        <v>2016</v>
      </c>
      <c r="C233" s="6" t="str">
        <f t="shared" si="11"/>
        <v xml:space="preserve">British Columbia-2016</v>
      </c>
      <c r="D233" s="6">
        <v>21624</v>
      </c>
    </row>
    <row r="234" ht="14.25">
      <c r="A234" s="7" t="s">
        <v>19</v>
      </c>
      <c r="B234" s="2">
        <v>2017</v>
      </c>
      <c r="C234" s="6" t="str">
        <f t="shared" si="11"/>
        <v xml:space="preserve">British Columbia-2017</v>
      </c>
      <c r="D234" s="6">
        <v>22538</v>
      </c>
    </row>
    <row r="235" ht="14.25">
      <c r="A235" s="7" t="s">
        <v>19</v>
      </c>
      <c r="B235" s="2">
        <v>2018</v>
      </c>
      <c r="C235" s="6" t="str">
        <f t="shared" si="11"/>
        <v xml:space="preserve">British Columbia-2018</v>
      </c>
      <c r="D235" s="6">
        <v>21444</v>
      </c>
    </row>
    <row r="236" ht="14.25">
      <c r="A236" s="7" t="s">
        <v>19</v>
      </c>
      <c r="B236" s="2">
        <v>2019</v>
      </c>
      <c r="C236" s="6" t="str">
        <f t="shared" si="11"/>
        <v xml:space="preserve">British Columbia-2019</v>
      </c>
      <c r="D236" s="6">
        <v>21000</v>
      </c>
    </row>
    <row r="237" ht="14.25">
      <c r="A237" s="7" t="s">
        <v>19</v>
      </c>
      <c r="B237" s="2">
        <v>2020</v>
      </c>
      <c r="C237" s="6" t="str">
        <f t="shared" si="11"/>
        <v xml:space="preserve">British Columbia-2020</v>
      </c>
      <c r="D237" s="6">
        <v>21402</v>
      </c>
    </row>
    <row r="238" ht="14.25">
      <c r="A238" s="7" t="s">
        <v>19</v>
      </c>
      <c r="B238" s="2">
        <v>2021</v>
      </c>
      <c r="C238" s="6" t="str">
        <f t="shared" si="11"/>
        <v xml:space="preserve">British Columbia-2021</v>
      </c>
      <c r="D238" s="6">
        <v>21704</v>
      </c>
    </row>
    <row r="239" ht="14.25">
      <c r="A239" s="7" t="s">
        <v>19</v>
      </c>
      <c r="B239" s="2">
        <v>2022</v>
      </c>
      <c r="C239" s="6" t="str">
        <f t="shared" si="11"/>
        <v xml:space="preserve">British Columbia-2022</v>
      </c>
      <c r="D239" s="6">
        <v>22636</v>
      </c>
    </row>
    <row r="240" ht="14.25">
      <c r="A240" s="7" t="s">
        <v>19</v>
      </c>
      <c r="B240" s="2">
        <v>2023</v>
      </c>
      <c r="C240" s="6" t="str">
        <f t="shared" si="11"/>
        <v xml:space="preserve">British Columbia-2023</v>
      </c>
      <c r="D240" s="6">
        <v>22072</v>
      </c>
    </row>
    <row r="241" ht="14.25">
      <c r="A241" s="7" t="s">
        <v>19</v>
      </c>
      <c r="B241" s="2">
        <v>2024</v>
      </c>
      <c r="C241" s="6" t="str">
        <f t="shared" si="11"/>
        <v xml:space="preserve">British Columbia-2024</v>
      </c>
      <c r="D241" s="6">
        <v>21626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ONLYOFFICE/9.3.1.8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2</cp:revision>
  <dcterms:modified xsi:type="dcterms:W3CDTF">2026-04-21T01:51:07Z</dcterms:modified>
</cp:coreProperties>
</file>